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solmetexinc-my.sharepoint.com/personal/rcameron_solmetex_com/Documents/Desktop/"/>
    </mc:Choice>
  </mc:AlternateContent>
  <xr:revisionPtr revIDLastSave="2918" documentId="8_{2D66B0C8-8E06-49BC-BF2D-B4A483FE0E26}" xr6:coauthVersionLast="47" xr6:coauthVersionMax="47" xr10:uidLastSave="{7B259EE6-B46D-4902-8680-2C2E3D8ED64A}"/>
  <bookViews>
    <workbookView xWindow="-120" yWindow="-120" windowWidth="29040" windowHeight="15720" xr2:uid="{26EAFFFB-F575-445E-B9F8-04A80603CD04}"/>
  </bookViews>
  <sheets>
    <sheet name="Automation_Cumulati_Sweet_Spots" sheetId="17" r:id="rId1"/>
    <sheet name="Distributor_Summary" sheetId="14" r:id="rId2"/>
    <sheet name="Worksheets_Summary" sheetId="12" r:id="rId3"/>
    <sheet name="Score_Range_Summary" sheetId="13" r:id="rId4"/>
    <sheet name="Raw_Data" sheetId="1" r:id="rId5"/>
  </sheets>
  <definedNames>
    <definedName name="_xlnm._FilterDatabase" localSheetId="4" hidden="1">'Raw_Data'!$A$1:$I$1</definedName>
    <definedName name="_xlcn.WorksheetConnection_Final_20260707_Analysis.xlsxRaw_Data" hidden="1">Raw_Data[]</definedName>
  </definedNames>
  <calcPr calcId="191029"/>
  <pivotCaches>
    <pivotCache cacheId="0" r:id="rId6"/>
    <pivotCache cacheId="1" r:id="rId7"/>
    <pivotCache cacheId="2" r:id="rId8"/>
    <pivotCache cacheId="3" r:id="rId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_Data" name="Raw_Data" connection="WorksheetConnection_Final_20260707_Analysis.xlsx!Raw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20" i="14" l="1"/>
  <c r="L22" i="14"/>
  <c r="K21" i="14"/>
  <c r="L20" i="14"/>
  <c r="L3" i="17" a="1"/>
  <c r="V3" i="17" a="1"/>
  <c r="AC12" i="17"/>
  <c r="AB12" i="17"/>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2" i="1"/>
  <c r="M20" i="14" l="1"/>
  <c r="N20" i="14" s="1"/>
  <c r="K22" i="14"/>
  <c r="AD12" i="17"/>
  <c r="S12" i="17"/>
  <c r="R12" i="17"/>
  <c r="T12" i="1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87FB8A-44E9-478D-BD58-1FDA6DF3BAC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5F4A607-3008-4DBE-AD9A-9F7AF93C3B79}" name="WorksheetConnection_Final_20260707_Analysis.xlsx!Raw_Data" type="102" refreshedVersion="8" minRefreshableVersion="5">
    <extLst>
      <ext xmlns:x15="http://schemas.microsoft.com/office/spreadsheetml/2010/11/main" uri="{DE250136-89BD-433C-8126-D09CA5730AF9}">
        <x15:connection id="Raw_Data" autoDelete="1">
          <x15:rangePr sourceName="_xlcn.WorksheetConnection_Final_20260707_Analysis.xlsxRaw_Data"/>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<sst xmlns="http://schemas.openxmlformats.org/spreadsheetml/2006/main" count="1714" uniqueCount="109">
  <si>
    <t>Folder</t>
  </si>
  <si>
    <t>Workbook</t>
  </si>
  <si>
    <t>Worksheet</t>
  </si>
  <si>
    <t>Score Range</t>
  </si>
  <si>
    <t>Quick Match</t>
  </si>
  <si>
    <t>Manual Match</t>
  </si>
  <si>
    <t>Create New</t>
  </si>
  <si>
    <t>Not Mapped</t>
  </si>
  <si>
    <t>Total Records</t>
  </si>
  <si>
    <t>Quick Match %</t>
  </si>
  <si>
    <t>Manual Match %</t>
  </si>
  <si>
    <t>Create New %</t>
  </si>
  <si>
    <t>Not Mapped %</t>
  </si>
  <si>
    <t>Big Three Customer Matrix</t>
  </si>
  <si>
    <t>In D365</t>
  </si>
  <si>
    <t>Historic</t>
  </si>
  <si>
    <t>All Other Customer Matrix</t>
  </si>
  <si>
    <t>Benco Dental Company</t>
  </si>
  <si>
    <t>80-70</t>
  </si>
  <si>
    <t>69-60</t>
  </si>
  <si>
    <t>59-50</t>
  </si>
  <si>
    <t>49-40</t>
  </si>
  <si>
    <t>39-30</t>
  </si>
  <si>
    <t>29-20</t>
  </si>
  <si>
    <t>19-0</t>
  </si>
  <si>
    <t>Default D365</t>
  </si>
  <si>
    <t>Dental City</t>
  </si>
  <si>
    <t>PureLife Dental</t>
  </si>
  <si>
    <t>Patterson Dental Supply - USA</t>
  </si>
  <si>
    <t>Henry Schein Dental</t>
  </si>
  <si>
    <t>Atlanta Dental</t>
  </si>
  <si>
    <t>Darby Dental Supply</t>
  </si>
  <si>
    <t>Frontier Dental - USA</t>
  </si>
  <si>
    <t>Safco Dental</t>
  </si>
  <si>
    <t>Reach Dental Equipment Service</t>
  </si>
  <si>
    <t>Nashville Dental Inc</t>
  </si>
  <si>
    <t>Midwest Dental Equipment</t>
  </si>
  <si>
    <t>Goetze Dental</t>
  </si>
  <si>
    <t>DC Dental</t>
  </si>
  <si>
    <t>Dental Health Products</t>
  </si>
  <si>
    <t>Empire Dental Supplies</t>
  </si>
  <si>
    <t>Grand Total</t>
  </si>
  <si>
    <t>Sum of Manual Match</t>
  </si>
  <si>
    <t>Sum of Total Records</t>
  </si>
  <si>
    <t>Total Match</t>
  </si>
  <si>
    <t>Total Match %</t>
  </si>
  <si>
    <t>Sum of Total Match</t>
  </si>
  <si>
    <t>June 2026 Distributor Mapping Performance</t>
  </si>
  <si>
    <t>June 2026 Worksheet Mapping Performance</t>
  </si>
  <si>
    <t>June 2026 Match Score Range Performance</t>
  </si>
  <si>
    <t>Worksheets</t>
  </si>
  <si>
    <t>Distributors</t>
  </si>
  <si>
    <t>Cumulative Records %</t>
  </si>
  <si>
    <t>Cumulative Quick Match</t>
  </si>
  <si>
    <t>Cumulative Total Match</t>
  </si>
  <si>
    <t>Cumulative Match Rate</t>
  </si>
  <si>
    <t>Quick Match Rate</t>
  </si>
  <si>
    <t>Key Findings &amp; Recommendations</t>
  </si>
  <si>
    <t>- Prioritize records with Match Scores between 50–80, where 38.1% of all records achieved a 92.5% Total Match Rate (309 of 334 records matched).</t>
  </si>
  <si>
    <t>- Consider expanding the review threshold to 40–80 when increased record coverage is desired, as 53.6% of all records maintained an 84.7% Total Match Rate (398 of 470 records matched).</t>
  </si>
  <si>
    <t>- Use score ranges to prioritize review efforts, as higher score ranges consistently produced stronger Total Match and Quick Match performance.</t>
  </si>
  <si>
    <t>- Quick Match performance declined as score ranges decreased, dropping from 87.2% in the 70–80 range to 60.6% when expanded through the 40–80 range.</t>
  </si>
  <si>
    <t>- Overall, 73.9% of all records were successfully matched (648 of 877 records), while 34.4% were completed through Quick Match (302 of 877 records).</t>
  </si>
  <si>
    <t>Cumulative Match Performance</t>
  </si>
  <si>
    <t xml:space="preserve"> - Create New records were most common in the Default D365 worksheet (24.4%)</t>
  </si>
  <si>
    <t xml:space="preserve"> - Overall, 73.9% of all records were successfully matched (648 of 877 records), while 34.4% were completed through Quick Match (302 of 877 records).</t>
  </si>
  <si>
    <t xml:space="preserve"> - Manual Match performance was highest in the 'In D365' worksheet at 47.8%, indicating manual review contributed significantly to overall mapping success.</t>
  </si>
  <si>
    <t xml:space="preserve"> - Default D365 contained the largest review volume, representing 48.7% of all records (427 of 877), with a 69.8% Total Match Rate (298 of 427 records matched).</t>
  </si>
  <si>
    <t xml:space="preserve"> - Historic records maintained a 76.1% Total Match Rate (137 of 180 records matched) while achieving the highest Quick Match Rate at 40.6% (73 of 180 records Quick Matched).</t>
  </si>
  <si>
    <t xml:space="preserve"> - Prioritize records in the In D365 worksheet, which achieved the highest Total Match Rate at 78.9% (213 of 270 records matched).</t>
  </si>
  <si>
    <t xml:space="preserve"> - DC Dental and Safco Dental also demonstrated strong matching performance, achieving Total Match Rates of 80.0% (32 of 40 records matched) and 80.6% (25 of 31 records matched).</t>
  </si>
  <si>
    <t xml:space="preserve"> - Dental Health Products achieved the highest Total Match Rate among distributors with at least 30 records, reaching 83.3% (25 of 30 records matched).</t>
  </si>
  <si>
    <t xml:space="preserve"> - Frontier Dental - USA represented the largest review volume, accounting for 25.1% of all records (220 of 877), while maintaining a 75.0% Total Match Rate (165 of 220 records matched).</t>
  </si>
  <si>
    <t xml:space="preserve"> - Manual Match contributed significantly to overall mapping performance for several distributors, particularly DC Dental (52.5%), Frontier Dental - USA (47.3%), and Safco Dental (45.2%).</t>
  </si>
  <si>
    <t xml:space="preserve"> - Create New Rates varied considerably across distributors, with Atlanta Dental (28.6%) and Dental City (24.2%).</t>
  </si>
  <si>
    <t xml:space="preserve"> - Overall, 65.6% of all records required manual review (575 of 877 records), resulting in the identification of 346 Manual Matches (39.5%), 168 Create New records (19.2%), and 61 Not Mapped records (7.0%).</t>
  </si>
  <si>
    <t xml:space="preserve"> - The remaining 302 records (34.4%) were successfully completed through Quick Match.</t>
  </si>
  <si>
    <t>Atlanta Dental Total</t>
  </si>
  <si>
    <t>Benco Dental Company Total</t>
  </si>
  <si>
    <t>Darby Dental Supply Total</t>
  </si>
  <si>
    <t>DC Dental Total</t>
  </si>
  <si>
    <t>Dental City Total</t>
  </si>
  <si>
    <t>Dental Health Products Total</t>
  </si>
  <si>
    <t>Empire Dental Supplies Total</t>
  </si>
  <si>
    <t>Frontier Dental - USA Total</t>
  </si>
  <si>
    <t>Goetze Dental Total</t>
  </si>
  <si>
    <t>Henry Schein Dental Total</t>
  </si>
  <si>
    <t>Midwest Dental Equipment Total</t>
  </si>
  <si>
    <t>Nashville Dental Inc Total</t>
  </si>
  <si>
    <t>Patterson Dental Supply - USA Total</t>
  </si>
  <si>
    <t>PureLife Dental Total</t>
  </si>
  <si>
    <t>Reach Dental Equipment Service Total</t>
  </si>
  <si>
    <t>Safco Dental Total</t>
  </si>
  <si>
    <t>Cumulative Total Match %</t>
  </si>
  <si>
    <t>Cumulative Total Records</t>
  </si>
  <si>
    <t>Score</t>
  </si>
  <si>
    <t>total match</t>
  </si>
  <si>
    <t>total records</t>
  </si>
  <si>
    <t>cumulative Match %</t>
  </si>
  <si>
    <t>Automation Sweet Spot Suggestions</t>
  </si>
  <si>
    <t xml:space="preserve">Total </t>
  </si>
  <si>
    <t>Total</t>
  </si>
  <si>
    <t>Distributor</t>
  </si>
  <si>
    <t>Key Insights &amp; Findings:</t>
  </si>
  <si>
    <r>
      <t xml:space="preserve"> - The 100% Absolute Route:</t>
    </r>
    <r>
      <rPr>
        <sz val="16"/>
        <color theme="1"/>
        <rFont val="Arial"/>
        <family val="2"/>
      </rPr>
      <t xml:space="preserve"> Green-lighting the first profile pool automatically clears </t>
    </r>
    <r>
      <rPr>
        <b/>
        <sz val="16"/>
        <color theme="1"/>
        <rFont val="Arial"/>
        <family val="2"/>
      </rPr>
      <t>80 records</t>
    </r>
    <r>
      <rPr>
        <sz val="16"/>
        <color theme="1"/>
        <rFont val="Arial"/>
        <family val="2"/>
      </rPr>
      <t xml:space="preserve"> with a flawless </t>
    </r>
    <r>
      <rPr>
        <b/>
        <sz val="16"/>
        <color theme="1"/>
        <rFont val="Arial"/>
        <family val="2"/>
      </rPr>
      <t>100% match rate</t>
    </r>
    <r>
      <rPr>
        <sz val="16"/>
        <color theme="1"/>
        <rFont val="Arial"/>
        <family val="2"/>
      </rPr>
      <t xml:space="preserve"> across Benco, Schein, and Patterson in their 80-70 ranges, ensuring zero risk for accounting.</t>
    </r>
  </si>
  <si>
    <t xml:space="preserve"> - This was all extracted using a dynamic =FILTER formula to scan through our drilled-down pivot table and automatically pull the exact distributor, score range, record count, and match rate combinations. I set a 90% to 100% cutoff with a minimum 20-record baseline to protect our accuracy and ensure future data anomalies won't heavily skew our success percentages, and you can play around with the formula yourself right here to adjust the spill results to your exact liking or leeway settings</t>
  </si>
  <si>
    <t xml:space="preserve"> - The 100% Route Suggestion: Automate future monthly results hitting a perfect 100% match rate to instantly clear 80 total records across Benco, Schein, and Patterson within their 80-70 score ranges to lessen manual work with zero accounting risk.</t>
  </si>
  <si>
    <t xml:space="preserve"> - The 90%–99% Leeway Suggestion: Automate future monthly results falling into the 90%–99% cutoff across high-performing bands like Schein's 59-50 range (97%) and Frontier's 69-60 range (94%), capturing an additional 361 records to drastically drop manual processing volume.</t>
  </si>
  <si>
    <t xml:space="preserve"> - Enforcing a minimum count of 20 records ensures that if upcoming months have 1 or 2 bad data anomalies, it won't heavily skew or diminish our high automation percentages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</si>
</sst>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0.0%;0.0%"/>
    <numFmt numFmtId="166" formatCode="_(* #,##0_);_(* \(#,##0\);_(* &quot;-&quot;??_);_(@_)"/>
  </numFmts>
  <fonts count="22" x14ac:knownFonts="1">
    <font>
      <sz val="11"/>
      <color theme="1"/>
      <name val="Aptos Narrow"/>
      <family val="2"/>
      <scheme val="minor"/>
    </font>
    <font>
      <b/>
      <sz val="11"/>
      <color theme="1"/>
      <name val="Aptos Narrow"/>
      <family val="2"/>
      <scheme val="minor"/>
    </font>
    <font>
      <sz val="11"/>
      <color theme="1"/>
      <name val="Aptos Narrow"/>
      <family val="2"/>
      <scheme val="minor"/>
    </font>
    <font>
      <sz val="8"/>
      <name val="Aptos Narrow"/>
      <family val="2"/>
      <scheme val="minor"/>
    </font>
    <font>
      <b/>
      <sz val="14"/>
      <color theme="1"/>
      <name val="Aptos Narrow"/>
      <family val="2"/>
      <scheme val="minor"/>
    </font>
    <font>
      <sz val="14"/>
      <color theme="1"/>
      <name val="Aptos Narrow"/>
      <family val="2"/>
      <scheme val="minor"/>
    </font>
    <font>
      <sz val="14"/>
      <name val="Aptos Narrow"/>
      <family val="2"/>
      <scheme val="minor"/>
    </font>
    <font>
      <b/>
      <sz val="20"/>
      <color theme="1"/>
      <name val="Aptos Narrow"/>
      <family val="2"/>
      <scheme val="minor"/>
    </font>
    <font>
      <sz val="18"/>
      <color theme="1"/>
      <name val="Times New Roman"/>
      <family val="1"/>
    </font>
    <font>
      <sz val="18"/>
      <color theme="1"/>
      <name val="Aptos Narrow"/>
      <family val="2"/>
      <scheme val="minor"/>
    </font>
    <font>
      <b/>
      <sz val="20"/>
      <color theme="1"/>
      <name val="Times New Roman"/>
      <family val="1"/>
    </font>
    <font>
      <sz val="20"/>
      <color theme="1"/>
      <name val="Times New Roman"/>
      <family val="1"/>
    </font>
    <font>
      <sz val="14"/>
      <color rgb="FFFF0000"/>
      <name val="Aptos Narrow"/>
      <family val="2"/>
      <scheme val="minor"/>
    </font>
    <font>
      <sz val="14"/>
      <color theme="1"/>
      <name val="Times New Roman"/>
      <family val="1"/>
    </font>
    <font>
      <b/>
      <sz val="12"/>
      <color theme="1"/>
      <name val="Aptos Narrow"/>
      <family val="2"/>
      <scheme val="minor"/>
    </font>
    <font>
      <sz val="12"/>
      <color theme="1"/>
      <name val="Aptos Narrow"/>
      <family val="2"/>
      <scheme val="minor"/>
    </font>
    <font>
      <sz val="16"/>
      <color theme="1"/>
      <name val="Aptos Narrow"/>
      <family val="2"/>
      <scheme val="minor"/>
    </font>
    <font>
      <b/>
      <sz val="16"/>
      <color theme="1"/>
      <name val="Aptos Narrow"/>
      <family val="2"/>
      <scheme val="minor"/>
    </font>
    <font>
      <sz val="12"/>
      <color theme="1"/>
      <name val="Abadi"/>
      <family val="2"/>
    </font>
    <font>
      <sz val="16"/>
      <color theme="1"/>
      <name val="Abadi"/>
      <family val="2"/>
    </font>
    <font>
      <sz val="16"/>
      <color theme="1"/>
      <name val="Arial"/>
      <family val="2"/>
    </font>
    <font>
      <b/>
      <sz val="16"/>
      <color theme="1"/>
      <name val="Arial"/>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5">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79">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xf>
    <xf numFmtId="0" fontId="1" fillId="0" borderId="0" xfId="0" applyFont="1"/>
    <xf numFmtId="0" fontId="5" fillId="0" borderId="0" xfId="0" applyFont="1"/>
    <xf numFmtId="0" fontId="5" fillId="0" borderId="0" xfId="0" pivotButton="1" applyFont="1" applyAlignment="1">
      <alignment horizontal="center"/>
    </xf>
    <xf numFmtId="0" fontId="4" fillId="2" borderId="1" xfId="0" applyFont="1" applyFill="1" applyBorder="1"/>
    <xf numFmtId="0" fontId="5" fillId="0" borderId="0" xfId="0" applyFont="1" applyAlignment="1">
      <alignment horizontal="center"/>
    </xf>
    <xf numFmtId="0" fontId="5" fillId="0" borderId="0" xfId="0" applyFont="1" applyAlignment="1">
      <alignment horizontal="center" vertical="center"/>
    </xf>
    <xf numFmtId="165" fontId="5" fillId="0" borderId="0" xfId="0" applyNumberFormat="1" applyFont="1" applyAlignment="1">
      <alignment horizontal="center" vertical="center"/>
    </xf>
    <xf numFmtId="164" fontId="5" fillId="0" borderId="0" xfId="1" applyNumberFormat="1" applyFont="1" applyAlignment="1">
      <alignment horizontal="center" vertical="center"/>
    </xf>
    <xf numFmtId="1" fontId="5" fillId="0" borderId="0" xfId="0" applyNumberFormat="1" applyFont="1" applyAlignment="1">
      <alignment horizontal="center" vertical="center"/>
    </xf>
    <xf numFmtId="165" fontId="6" fillId="3" borderId="0" xfId="0" applyNumberFormat="1" applyFont="1" applyFill="1" applyAlignment="1">
      <alignment horizontal="center" vertical="center"/>
    </xf>
    <xf numFmtId="0" fontId="8" fillId="0" borderId="0" xfId="0" applyFont="1"/>
    <xf numFmtId="0" fontId="9" fillId="0" borderId="0" xfId="0" applyFont="1"/>
    <xf numFmtId="0" fontId="4" fillId="2" borderId="1" xfId="0" applyFont="1" applyFill="1" applyBorder="1" applyAlignment="1">
      <alignment horizontal="center" vertical="center"/>
    </xf>
    <xf numFmtId="0" fontId="4" fillId="2" borderId="0" xfId="0" applyFont="1" applyFill="1" applyAlignment="1">
      <alignment horizontal="center" vertical="center"/>
    </xf>
    <xf numFmtId="0" fontId="7" fillId="0" borderId="0" xfId="0" applyFont="1" applyAlignment="1">
      <alignment vertical="center"/>
    </xf>
    <xf numFmtId="0" fontId="10" fillId="0" borderId="0" xfId="0" applyFont="1" applyAlignment="1">
      <alignment vertical="center"/>
    </xf>
    <xf numFmtId="0" fontId="11" fillId="0" borderId="0" xfId="0" applyFont="1" applyAlignment="1">
      <alignment horizontal="left" vertical="center" indent="1"/>
    </xf>
    <xf numFmtId="0" fontId="11" fillId="0" borderId="0" xfId="0" applyFont="1"/>
    <xf numFmtId="0" fontId="4" fillId="0" borderId="0" xfId="0" applyFont="1"/>
    <xf numFmtId="10" fontId="0" fillId="0" borderId="0" xfId="1" applyNumberFormat="1" applyFont="1"/>
    <xf numFmtId="164" fontId="12" fillId="0" borderId="0" xfId="1" applyNumberFormat="1" applyFont="1" applyAlignment="1">
      <alignment horizontal="center" vertical="center"/>
    </xf>
    <xf numFmtId="0" fontId="13" fillId="0" borderId="0" xfId="0" applyFont="1"/>
    <xf numFmtId="0" fontId="13" fillId="0" borderId="0" xfId="0" applyFont="1" applyAlignment="1">
      <alignment horizontal="left" vertical="center" indent="1"/>
    </xf>
    <xf numFmtId="0" fontId="15" fillId="0" borderId="0" xfId="0" applyFont="1" applyAlignment="1">
      <alignment horizontal="center" vertical="center"/>
    </xf>
    <xf numFmtId="0" fontId="15" fillId="0" borderId="0" xfId="0" pivotButton="1" applyFont="1" applyAlignment="1">
      <alignment horizontal="center"/>
    </xf>
    <xf numFmtId="0" fontId="15" fillId="0" borderId="0" xfId="0" applyFont="1"/>
    <xf numFmtId="165" fontId="15" fillId="0" borderId="0" xfId="0" applyNumberFormat="1" applyFont="1" applyAlignment="1">
      <alignment horizontal="center" vertical="center"/>
    </xf>
    <xf numFmtId="0" fontId="15" fillId="0" borderId="0" xfId="0" applyFont="1" applyAlignment="1">
      <alignment horizontal="center"/>
    </xf>
    <xf numFmtId="0" fontId="14" fillId="0" borderId="0" xfId="0" applyFont="1"/>
    <xf numFmtId="164" fontId="15" fillId="0" borderId="0" xfId="1" applyNumberFormat="1" applyFont="1" applyAlignment="1">
      <alignment horizontal="center" vertical="center"/>
    </xf>
    <xf numFmtId="164" fontId="0" fillId="0" borderId="0" xfId="1" applyNumberFormat="1" applyFont="1"/>
    <xf numFmtId="0" fontId="15" fillId="0" borderId="0" xfId="0" pivotButton="1" applyFont="1"/>
    <xf numFmtId="164" fontId="15" fillId="0" borderId="0" xfId="0" applyNumberFormat="1" applyFont="1" applyAlignment="1">
      <alignment horizontal="center" vertical="center"/>
    </xf>
    <xf numFmtId="43" fontId="0" fillId="0" borderId="0" xfId="2" applyFont="1" applyAlignment="1">
      <alignment horizontal="center"/>
    </xf>
    <xf numFmtId="0" fontId="0" fillId="0" borderId="0" xfId="0" pivotButton="1" applyAlignment="1">
      <alignment horizontal="center"/>
    </xf>
    <xf numFmtId="0" fontId="0" fillId="0" borderId="0" xfId="0" applyAlignment="1">
      <alignment horizontal="left"/>
    </xf>
    <xf numFmtId="165" fontId="0" fillId="0" borderId="0" xfId="0" applyNumberFormat="1" applyAlignment="1">
      <alignment horizontal="center" vertical="center"/>
    </xf>
    <xf numFmtId="0" fontId="0" fillId="0" borderId="0" xfId="0" applyAlignment="1">
      <alignment horizontal="center"/>
    </xf>
    <xf numFmtId="1" fontId="15" fillId="0" borderId="0" xfId="0" applyNumberFormat="1" applyFont="1" applyAlignment="1">
      <alignment horizontal="center" vertical="center"/>
    </xf>
    <xf numFmtId="0" fontId="18" fillId="0" borderId="0" xfId="0" applyFont="1" applyAlignment="1">
      <alignment horizontal="center"/>
    </xf>
    <xf numFmtId="0" fontId="18" fillId="0" borderId="2" xfId="0" applyFont="1" applyBorder="1" applyAlignment="1">
      <alignment horizontal="center"/>
    </xf>
    <xf numFmtId="9" fontId="18" fillId="0" borderId="0" xfId="1" applyFont="1" applyAlignment="1">
      <alignment horizontal="center"/>
    </xf>
    <xf numFmtId="165" fontId="15" fillId="0" borderId="2" xfId="0" applyNumberFormat="1" applyFont="1" applyBorder="1" applyAlignment="1">
      <alignment horizontal="center" vertical="center"/>
    </xf>
    <xf numFmtId="1" fontId="18" fillId="0" borderId="0" xfId="0" applyNumberFormat="1" applyFont="1" applyAlignment="1">
      <alignment horizontal="center"/>
    </xf>
    <xf numFmtId="1" fontId="18" fillId="0" borderId="2" xfId="0" applyNumberFormat="1" applyFont="1" applyBorder="1" applyAlignment="1">
      <alignment horizontal="center"/>
    </xf>
    <xf numFmtId="165" fontId="7" fillId="0" borderId="3" xfId="0" applyNumberFormat="1" applyFont="1" applyBorder="1" applyAlignment="1">
      <alignment horizontal="center" vertical="center"/>
    </xf>
    <xf numFmtId="1" fontId="7" fillId="0" borderId="2" xfId="0" applyNumberFormat="1" applyFont="1" applyBorder="1" applyAlignment="1">
      <alignment horizontal="center" vertical="center"/>
    </xf>
    <xf numFmtId="165" fontId="7" fillId="0" borderId="2" xfId="0" applyNumberFormat="1" applyFont="1" applyBorder="1" applyAlignment="1">
      <alignment horizontal="center" vertical="center"/>
    </xf>
    <xf numFmtId="165" fontId="5" fillId="0" borderId="2" xfId="0" applyNumberFormat="1" applyFont="1" applyBorder="1" applyAlignment="1">
      <alignment horizontal="center" vertical="center"/>
    </xf>
    <xf numFmtId="1" fontId="5" fillId="0" borderId="2" xfId="0" applyNumberFormat="1" applyFont="1" applyBorder="1" applyAlignment="1">
      <alignment horizontal="center" vertical="center"/>
    </xf>
    <xf numFmtId="165" fontId="4" fillId="0" borderId="2" xfId="0" applyNumberFormat="1" applyFont="1" applyBorder="1" applyAlignment="1">
      <alignment horizontal="center" vertical="center"/>
    </xf>
    <xf numFmtId="165" fontId="4" fillId="0" borderId="0" xfId="0" applyNumberFormat="1" applyFont="1" applyAlignment="1">
      <alignment horizontal="center" vertical="center"/>
    </xf>
    <xf numFmtId="165" fontId="17" fillId="0" borderId="0" xfId="0" applyNumberFormat="1" applyFont="1" applyAlignment="1">
      <alignment vertical="center"/>
    </xf>
    <xf numFmtId="0" fontId="19" fillId="0" borderId="0" xfId="0" applyFont="1" applyAlignment="1">
      <alignment horizontal="center"/>
    </xf>
    <xf numFmtId="9" fontId="19" fillId="0" borderId="0" xfId="1" applyFont="1" applyAlignment="1">
      <alignment horizontal="center"/>
    </xf>
    <xf numFmtId="165" fontId="16" fillId="0" borderId="0" xfId="0" applyNumberFormat="1" applyFont="1" applyAlignment="1">
      <alignment vertical="center"/>
    </xf>
    <xf numFmtId="165" fontId="5" fillId="0" borderId="4" xfId="0" applyNumberFormat="1" applyFont="1" applyBorder="1" applyAlignment="1">
      <alignment horizontal="center" vertical="center"/>
    </xf>
    <xf numFmtId="1" fontId="5" fillId="0" borderId="4" xfId="0" applyNumberFormat="1" applyFont="1" applyBorder="1" applyAlignment="1">
      <alignment horizontal="center" vertical="center"/>
    </xf>
    <xf numFmtId="1" fontId="5" fillId="0" borderId="4" xfId="2" applyNumberFormat="1" applyFont="1" applyBorder="1" applyAlignment="1">
      <alignment horizontal="center" vertical="center"/>
    </xf>
    <xf numFmtId="1" fontId="5" fillId="0" borderId="2" xfId="2" applyNumberFormat="1" applyFont="1" applyBorder="1" applyAlignment="1">
      <alignment horizontal="center" vertical="center"/>
    </xf>
    <xf numFmtId="1" fontId="18" fillId="0" borderId="0" xfId="2" applyNumberFormat="1" applyFont="1" applyAlignment="1">
      <alignment horizontal="center"/>
    </xf>
    <xf numFmtId="1" fontId="19" fillId="0" borderId="0" xfId="2" applyNumberFormat="1" applyFont="1" applyAlignment="1">
      <alignment horizontal="center"/>
    </xf>
    <xf numFmtId="166" fontId="0" fillId="0" borderId="0" xfId="2" applyNumberFormat="1" applyFont="1" applyAlignment="1">
      <alignment horizontal="center" vertical="center"/>
    </xf>
    <xf numFmtId="166" fontId="0" fillId="0" borderId="0" xfId="2" applyNumberFormat="1" applyFont="1"/>
    <xf numFmtId="0" fontId="0" fillId="3" borderId="0" xfId="0" applyFill="1" applyAlignment="1">
      <alignment horizontal="left"/>
    </xf>
    <xf numFmtId="166" fontId="0" fillId="0" borderId="0" xfId="2" applyNumberFormat="1" applyFont="1" applyAlignment="1"/>
    <xf numFmtId="166" fontId="0" fillId="0" borderId="0" xfId="0" applyNumberFormat="1" applyAlignment="1">
      <alignment vertical="center"/>
    </xf>
    <xf numFmtId="166" fontId="0" fillId="0" borderId="0" xfId="2" applyNumberFormat="1" applyFont="1" applyAlignment="1">
      <alignment vertical="center"/>
    </xf>
    <xf numFmtId="1" fontId="0" fillId="0" borderId="0" xfId="2" applyNumberFormat="1" applyFont="1" applyAlignment="1">
      <alignment vertical="center"/>
    </xf>
    <xf numFmtId="10" fontId="0" fillId="0" borderId="0" xfId="1" applyNumberFormat="1" applyFont="1" applyAlignment="1"/>
    <xf numFmtId="0" fontId="1" fillId="0" borderId="0" xfId="0" applyFont="1" applyAlignment="1">
      <alignment horizontal="center" vertical="center"/>
    </xf>
    <xf numFmtId="0" fontId="14" fillId="0" borderId="0" xfId="0" applyFont="1" applyAlignment="1">
      <alignment horizontal="center" vertical="center"/>
    </xf>
    <xf numFmtId="165" fontId="17" fillId="0" borderId="2" xfId="0" applyNumberFormat="1" applyFont="1" applyBorder="1" applyAlignment="1">
      <alignment horizontal="center" vertical="center"/>
    </xf>
    <xf numFmtId="0" fontId="4" fillId="0" borderId="0" xfId="0" applyFont="1" applyAlignment="1">
      <alignment horizontal="center" vertical="center"/>
    </xf>
  </cellXfs>
  <cellStyles count="3">
    <cellStyle name="Comma" xfId="2" builtinId="3"/>
    <cellStyle name="Normal" xfId="0" builtinId="0"/>
    <cellStyle name="Percent" xfId="1" builtinId="5"/>
  </cellStyles>
  <dxfs count="70">
    <dxf>
      <font>
        <b val="0"/>
        <i val="0"/>
        <strike val="0"/>
        <condense val="0"/>
        <extend val="0"/>
        <outline val="0"/>
        <shadow val="0"/>
        <u val="none"/>
        <vertAlign val="baseline"/>
        <sz val="11"/>
        <color theme="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sz val="14"/>
      </font>
    </dxf>
    <dxf>
      <font>
        <sz val="14"/>
      </font>
    </dxf>
    <dxf>
      <font>
        <sz val="14"/>
      </font>
    </dxf>
    <dxf>
      <font>
        <sz val="14"/>
      </font>
    </dxf>
    <dxf>
      <font>
        <sz val="14"/>
      </font>
    </dxf>
    <dxf>
      <font>
        <sz val="14"/>
      </font>
    </dxf>
    <dxf>
      <fill>
        <patternFill patternType="none">
          <bgColor auto="1"/>
        </patternFill>
      </fill>
    </dxf>
    <dxf>
      <numFmt numFmtId="165" formatCode="0.0%;\-0.0%;0.0%"/>
    </dxf>
    <dxf>
      <numFmt numFmtId="165" formatCode="0.0%;\-0.0%;0.0%"/>
    </dxf>
    <dxf>
      <font>
        <sz val="14"/>
      </font>
    </dxf>
    <dxf>
      <fill>
        <patternFill patternType="solid">
          <bgColor rgb="FFFFFF00"/>
        </patternFill>
      </fill>
    </dxf>
    <dxf>
      <font>
        <color auto="1"/>
      </font>
    </dxf>
    <dxf>
      <alignment horizontal="center"/>
    </dxf>
    <dxf>
      <alignment horizontal="center"/>
    </dxf>
    <dxf>
      <alignment horizontal="center"/>
    </dxf>
    <dxf>
      <font>
        <sz val="12"/>
      </font>
    </dxf>
    <dxf>
      <font>
        <sz val="12"/>
      </font>
    </dxf>
    <dxf>
      <font>
        <sz val="12"/>
      </font>
    </dxf>
    <dxf>
      <alignment horizontal="center"/>
    </dxf>
    <dxf>
      <alignment vertical="center"/>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vertical="center"/>
    </dxf>
    <dxf>
      <alignment vertical="center"/>
    </dxf>
    <dxf>
      <numFmt numFmtId="164" formatCode="0.0%"/>
    </dxf>
    <dxf>
      <numFmt numFmtId="164" formatCode="0.0%"/>
    </dxf>
    <dxf>
      <font>
        <sz val="12"/>
      </font>
    </dxf>
    <dxf>
      <font>
        <sz val="12"/>
      </font>
    </dxf>
    <dxf>
      <font>
        <sz val="12"/>
      </font>
    </dxf>
    <dxf>
      <font>
        <sz val="12"/>
      </font>
    </dxf>
    <dxf>
      <alignment horizontal="center"/>
    </dxf>
    <dxf>
      <alignment horizontal="center"/>
    </dxf>
    <dxf>
      <alignment horizontal="center"/>
    </dxf>
    <dxf>
      <alignment vertical="center"/>
    </dxf>
    <dxf>
      <alignment vertical="center"/>
    </dxf>
    <dxf>
      <fill>
        <patternFill patternType="solid">
          <bgColor rgb="FFFFFF00"/>
        </patternFill>
      </fill>
    </dxf>
    <dxf>
      <fill>
        <patternFill patternType="solid">
          <bgColor rgb="FFFFFF00"/>
        </patternFill>
      </fill>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2.xml"/><Relationship Id="rId26" Type="http://schemas.openxmlformats.org/officeDocument/2006/relationships/customXml" Target="../customXml/item10.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2.xml"/><Relationship Id="rId12" Type="http://schemas.openxmlformats.org/officeDocument/2006/relationships/styles" Target="style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openxmlformats.org/officeDocument/2006/relationships/theme" Target="theme/them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heetMetadata" Target="metadata.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meron, Robert" refreshedDate="46246.682530208331" backgroundQuery="1" createdVersion="8" refreshedVersion="8" minRefreshableVersion="3" recordCount="0" supportSubquery="1" supportAdvancedDrill="1" xr:uid="{DDCAE299-F423-46DB-AA9F-EBD2616D4D76}">
  <cacheSource type="external" connectionId="1"/>
  <cacheFields count="8">
    <cacheField name="[Raw_Data].[Score Range].[Score Range]" caption="Score Range" numFmtId="0" hierarchy="3" level="1">
      <sharedItems count="7">
        <s v="19-0"/>
        <s v="29-20"/>
        <s v="39-30"/>
        <s v="49-40"/>
        <s v="59-50"/>
        <s v="69-60"/>
        <s v="80-70"/>
      </sharedItems>
    </cacheField>
    <cacheField name="[Measures].[Sum of Total Records]" caption="Sum of Total Records" numFmtId="0" hierarchy="15" level="32767"/>
    <cacheField name="[Measures].[Total Match %]" caption="Total Match %" numFmtId="0" hierarchy="21" level="32767"/>
    <cacheField name="[Measures].[Create New %]" caption="Create New %" numFmtId="0" hierarchy="19" level="32767"/>
    <cacheField name="[Measures].[Not Mapped %]" caption="Not Mapped %" numFmtId="0" hierarchy="20" level="32767"/>
    <cacheField name="[Measures].[Quick Match %]" caption="Quick Match %" numFmtId="0" hierarchy="17" level="32767"/>
    <cacheField name="[Measures].[Manual Match %]" caption="Manual Match %" numFmtId="0" hierarchy="18" level="32767"/>
    <cacheField name="[Measures].[Sum of Manual Match]" caption="Sum of Manual Match" numFmtId="0" hierarchy="12" level="32767"/>
  </cacheFields>
  <cacheHierarchies count="27">
    <cacheHierarchy uniqueName="[Raw_Data].[Folder]" caption="Folder" attribute="1" defaultMemberUniqueName="[Raw_Data].[Folder].[All]" allUniqueName="[Raw_Data].[Folder].[All]" dimensionUniqueName="[Raw_Data]" displayFolder="" count="0" memberValueDatatype="130" unbalanced="0"/>
    <cacheHierarchy uniqueName="[Raw_Data].[Workbook]" caption="Workbook" attribute="1" defaultMemberUniqueName="[Raw_Data].[Workbook].[All]" allUniqueName="[Raw_Data].[Workbook].[All]" dimensionUniqueName="[Raw_Data]" displayFolder="" count="0" memberValueDatatype="130" unbalanced="0"/>
    <cacheHierarchy uniqueName="[Raw_Data].[Worksheet]" caption="Worksheet" attribute="1" defaultMemberUniqueName="[Raw_Data].[Worksheet].[All]" allUniqueName="[Raw_Data].[Worksheet].[All]" dimensionUniqueName="[Raw_Data]" displayFolder="" count="0" memberValueDatatype="130" unbalanced="0"/>
    <cacheHierarchy uniqueName="[Raw_Data].[Score Range]" caption="Score Range" attribute="1" defaultMemberUniqueName="[Raw_Data].[Score Range].[All]" allUniqueName="[Raw_Data].[Score Range].[All]" dimensionUniqueName="[Raw_Data]" displayFolder="" count="2" memberValueDatatype="130" unbalanced="0">
      <fieldsUsage count="2">
        <fieldUsage x="-1"/>
        <fieldUsage x="0"/>
      </fieldsUsage>
    </cacheHierarchy>
    <cacheHierarchy uniqueName="[Raw_Data].[Quick Match]" caption="Quick Match" attribute="1" defaultMemberUniqueName="[Raw_Data].[Quick Match].[All]" allUniqueName="[Raw_Data].[Quick Match].[All]" dimensionUniqueName="[Raw_Data]" displayFolder="" count="0" memberValueDatatype="20" unbalanced="0"/>
    <cacheHierarchy uniqueName="[Raw_Data].[Manual Match]" caption="Manual Match" attribute="1" defaultMemberUniqueName="[Raw_Data].[Manual Match].[All]" allUniqueName="[Raw_Data].[Manual Match].[All]" dimensionUniqueName="[Raw_Data]" displayFolder="" count="0" memberValueDatatype="20" unbalanced="0"/>
    <cacheHierarchy uniqueName="[Raw_Data].[Create New]" caption="Create New" attribute="1" defaultMemberUniqueName="[Raw_Data].[Create New].[All]" allUniqueName="[Raw_Data].[Create New].[All]" dimensionUniqueName="[Raw_Data]" displayFolder="" count="0" memberValueDatatype="20" unbalanced="0"/>
    <cacheHierarchy uniqueName="[Raw_Data].[Not Mapped]" caption="Not Mapped" attribute="1" defaultMemberUniqueName="[Raw_Data].[Not Mapped].[All]" allUniqueName="[Raw_Data].[Not Mapped].[All]" dimensionUniqueName="[Raw_Data]" displayFolder="" count="0" memberValueDatatype="20" unbalanced="0"/>
    <cacheHierarchy uniqueName="[Raw_Data].[Total Records]" caption="Total Records" attribute="1" defaultMemberUniqueName="[Raw_Data].[Total Records].[All]" allUniqueName="[Raw_Data].[Total Records].[All]" dimensionUniqueName="[Raw_Data]" displayFolder="" count="0" memberValueDatatype="20" unbalanced="0"/>
    <cacheHierarchy uniqueName="[Raw_Data].[Total Match]" caption="Total Match" attribute="1" defaultMemberUniqueName="[Raw_Data].[Total Match].[All]" allUniqueName="[Raw_Data].[Total Match].[All]" dimensionUniqueName="[Raw_Data]" displayFolder="" count="0" memberValueDatatype="20" unbalanced="0"/>
    <cacheHierarchy uniqueName="[Raw_Data].[Score_Order]" caption="Score_Order" attribute="1" defaultMemberUniqueName="[Raw_Data].[Score_Order].[All]" allUniqueName="[Raw_Data].[Score_Order].[All]" dimensionUniqueName="[Raw_Data]" displayFolder="" count="0" memberValueDatatype="20" unbalanced="0"/>
    <cacheHierarchy uniqueName="[Measures].[Sum of Quick Match]" caption="Sum of Quick Match" measure="1" displayFolder="" measureGroup="Raw_Data" count="0">
      <extLst>
        <ext xmlns:x15="http://schemas.microsoft.com/office/spreadsheetml/2010/11/main" uri="{B97F6D7D-B522-45F9-BDA1-12C45D357490}">
          <x15:cacheHierarchy aggregatedColumn="4"/>
        </ext>
      </extLst>
    </cacheHierarchy>
    <cacheHierarchy uniqueName="[Measures].[Sum of Manual Match]" caption="Sum of Manual Match" measure="1" displayFolder="" measureGroup="Raw_Data" count="0" oneField="1">
      <fieldsUsage count="1">
        <fieldUsage x="7"/>
      </fieldsUsage>
      <extLst>
        <ext xmlns:x15="http://schemas.microsoft.com/office/spreadsheetml/2010/11/main" uri="{B97F6D7D-B522-45F9-BDA1-12C45D357490}">
          <x15:cacheHierarchy aggregatedColumn="5"/>
        </ext>
      </extLst>
    </cacheHierarchy>
    <cacheHierarchy uniqueName="[Measures].[Sum of Create New]" caption="Sum of Create New" measure="1" displayFolder="" measureGroup="Raw_Data" count="0">
      <extLst>
        <ext xmlns:x15="http://schemas.microsoft.com/office/spreadsheetml/2010/11/main" uri="{B97F6D7D-B522-45F9-BDA1-12C45D357490}">
          <x15:cacheHierarchy aggregatedColumn="6"/>
        </ext>
      </extLst>
    </cacheHierarchy>
    <cacheHierarchy uniqueName="[Measures].[Sum of Not Mapped]" caption="Sum of Not Mapped" measure="1" displayFolder="" measureGroup="Raw_Data" count="0">
      <extLst>
        <ext xmlns:x15="http://schemas.microsoft.com/office/spreadsheetml/2010/11/main" uri="{B97F6D7D-B522-45F9-BDA1-12C45D357490}">
          <x15:cacheHierarchy aggregatedColumn="7"/>
        </ext>
      </extLst>
    </cacheHierarchy>
    <cacheHierarchy uniqueName="[Measures].[Sum of Total Records]" caption="Sum of Total Records" measure="1" displayFolder="" measureGroup="Raw_Data" count="0" oneField="1">
      <fieldsUsage count="1">
        <fieldUsage x="1"/>
      </fieldsUsage>
      <extLst>
        <ext xmlns:x15="http://schemas.microsoft.com/office/spreadsheetml/2010/11/main" uri="{B97F6D7D-B522-45F9-BDA1-12C45D357490}">
          <x15:cacheHierarchy aggregatedColumn="8"/>
        </ext>
      </extLst>
    </cacheHierarchy>
    <cacheHierarchy uniqueName="[Measures].[Sum of Total Match]" caption="Sum of Total Match" measure="1" displayFolder="" measureGroup="Raw_Data" count="0">
      <extLst>
        <ext xmlns:x15="http://schemas.microsoft.com/office/spreadsheetml/2010/11/main" uri="{B97F6D7D-B522-45F9-BDA1-12C45D357490}">
          <x15:cacheHierarchy aggregatedColumn="9"/>
        </ext>
      </extLst>
    </cacheHierarchy>
    <cacheHierarchy uniqueName="[Measures].[Quick Match %]" caption="Quick Match %" measure="1" displayFolder="" measureGroup="Raw_Data" count="0" oneField="1">
      <fieldsUsage count="1">
        <fieldUsage x="5"/>
      </fieldsUsage>
    </cacheHierarchy>
    <cacheHierarchy uniqueName="[Measures].[Manual Match %]" caption="Manual Match %" measure="1" displayFolder="" measureGroup="Raw_Data" count="0" oneField="1">
      <fieldsUsage count="1">
        <fieldUsage x="6"/>
      </fieldsUsage>
    </cacheHierarchy>
    <cacheHierarchy uniqueName="[Measures].[Create New %]" caption="Create New %" measure="1" displayFolder="" measureGroup="Raw_Data" count="0" oneField="1">
      <fieldsUsage count="1">
        <fieldUsage x="3"/>
      </fieldsUsage>
    </cacheHierarchy>
    <cacheHierarchy uniqueName="[Measures].[Not Mapped %]" caption="Not Mapped %" measure="1" displayFolder="" measureGroup="Raw_Data" count="0" oneField="1">
      <fieldsUsage count="1">
        <fieldUsage x="4"/>
      </fieldsUsage>
    </cacheHierarchy>
    <cacheHierarchy uniqueName="[Measures].[Total Match %]" caption="Total Match %" measure="1" displayFolder="" measureGroup="Raw_Data" count="0" oneField="1">
      <fieldsUsage count="1">
        <fieldUsage x="2"/>
      </fieldsUsage>
    </cacheHierarchy>
    <cacheHierarchy uniqueName="[Measures].[Cumulative Total Match %]" caption="Cumulative Total Match %" measure="1" displayFolder="" measureGroup="Raw_Data" count="0"/>
    <cacheHierarchy uniqueName="[Measures].[Cumulative Total Records]" caption="Cumulative Total Records" measure="1" displayFolder="" measureGroup="Raw_Data" count="0"/>
    <cacheHierarchy uniqueName="[Measures].[Cumulative Total Match]" caption="Cumulative Total Match" measure="1" displayFolder="" measureGroup="Raw_Data" count="0"/>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2">
    <dimension measure="1" name="Measures" uniqueName="[Measures]" caption="Measures"/>
    <dimension name="Raw_Data" uniqueName="[Raw_Data]" caption="Raw_Data"/>
  </dimensions>
  <measureGroups count="1">
    <measureGroup name="Raw_Data" caption="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meron, Robert" refreshedDate="46246.682531597224" backgroundQuery="1" createdVersion="8" refreshedVersion="8" minRefreshableVersion="3" recordCount="0" supportSubquery="1" supportAdvancedDrill="1" xr:uid="{B13FDA13-14CC-400D-95EE-724DD2486FA9}">
  <cacheSource type="external" connectionId="1"/>
  <cacheFields count="8">
    <cacheField name="[Measures].[Quick Match %]" caption="Quick Match %" numFmtId="0" hierarchy="17" level="32767"/>
    <cacheField name="[Measures].[Manual Match %]" caption="Manual Match %" numFmtId="0" hierarchy="18" level="32767"/>
    <cacheField name="[Measures].[Create New %]" caption="Create New %" numFmtId="0" hierarchy="19" level="32767"/>
    <cacheField name="[Measures].[Not Mapped %]" caption="Not Mapped %" numFmtId="0" hierarchy="20" level="32767"/>
    <cacheField name="[Measures].[Total Match %]" caption="Total Match %" numFmtId="0" hierarchy="21" level="32767"/>
    <cacheField name="[Raw_Data].[Score Range].[Score Range]" caption="Score Range" numFmtId="0" hierarchy="3" level="1">
      <sharedItems count="7">
        <s v="59-50"/>
        <s v="69-60"/>
        <s v="80-70"/>
        <s v="19-0"/>
        <s v="29-20"/>
        <s v="39-30"/>
        <s v="49-40"/>
      </sharedItems>
    </cacheField>
    <cacheField name="[Measures].[Sum of Total Records]" caption="Sum of Total Records" numFmtId="0" hierarchy="15" level="32767"/>
    <cacheField name="[Raw_Data].[Worksheet].[Worksheet]" caption="Worksheet" numFmtId="0" hierarchy="2" level="1">
      <sharedItems count="3">
        <s v="Default D365"/>
        <s v="Historic"/>
        <s v="In D365"/>
      </sharedItems>
    </cacheField>
  </cacheFields>
  <cacheHierarchies count="27">
    <cacheHierarchy uniqueName="[Raw_Data].[Folder]" caption="Folder" attribute="1" defaultMemberUniqueName="[Raw_Data].[Folder].[All]" allUniqueName="[Raw_Data].[Folder].[All]" dimensionUniqueName="[Raw_Data]" displayFolder="" count="0" memberValueDatatype="130" unbalanced="0"/>
    <cacheHierarchy uniqueName="[Raw_Data].[Workbook]" caption="Workbook" attribute="1" defaultMemberUniqueName="[Raw_Data].[Workbook].[All]" allUniqueName="[Raw_Data].[Workbook].[All]" dimensionUniqueName="[Raw_Data]" displayFolder="" count="0" memberValueDatatype="130" unbalanced="0"/>
    <cacheHierarchy uniqueName="[Raw_Data].[Worksheet]" caption="Worksheet" attribute="1" defaultMemberUniqueName="[Raw_Data].[Worksheet].[All]" allUniqueName="[Raw_Data].[Worksheet].[All]" dimensionUniqueName="[Raw_Data]" displayFolder="" count="2" memberValueDatatype="130" unbalanced="0">
      <fieldsUsage count="2">
        <fieldUsage x="-1"/>
        <fieldUsage x="7"/>
      </fieldsUsage>
    </cacheHierarchy>
    <cacheHierarchy uniqueName="[Raw_Data].[Score Range]" caption="Score Range" attribute="1" defaultMemberUniqueName="[Raw_Data].[Score Range].[All]" allUniqueName="[Raw_Data].[Score Range].[All]" dimensionUniqueName="[Raw_Data]" displayFolder="" count="2" memberValueDatatype="130" unbalanced="0">
      <fieldsUsage count="2">
        <fieldUsage x="-1"/>
        <fieldUsage x="5"/>
      </fieldsUsage>
    </cacheHierarchy>
    <cacheHierarchy uniqueName="[Raw_Data].[Quick Match]" caption="Quick Match" attribute="1" defaultMemberUniqueName="[Raw_Data].[Quick Match].[All]" allUniqueName="[Raw_Data].[Quick Match].[All]" dimensionUniqueName="[Raw_Data]" displayFolder="" count="0" memberValueDatatype="20" unbalanced="0"/>
    <cacheHierarchy uniqueName="[Raw_Data].[Manual Match]" caption="Manual Match" attribute="1" defaultMemberUniqueName="[Raw_Data].[Manual Match].[All]" allUniqueName="[Raw_Data].[Manual Match].[All]" dimensionUniqueName="[Raw_Data]" displayFolder="" count="0" memberValueDatatype="20" unbalanced="0"/>
    <cacheHierarchy uniqueName="[Raw_Data].[Create New]" caption="Create New" attribute="1" defaultMemberUniqueName="[Raw_Data].[Create New].[All]" allUniqueName="[Raw_Data].[Create New].[All]" dimensionUniqueName="[Raw_Data]" displayFolder="" count="0" memberValueDatatype="20" unbalanced="0"/>
    <cacheHierarchy uniqueName="[Raw_Data].[Not Mapped]" caption="Not Mapped" attribute="1" defaultMemberUniqueName="[Raw_Data].[Not Mapped].[All]" allUniqueName="[Raw_Data].[Not Mapped].[All]" dimensionUniqueName="[Raw_Data]" displayFolder="" count="0" memberValueDatatype="20" unbalanced="0"/>
    <cacheHierarchy uniqueName="[Raw_Data].[Total Records]" caption="Total Records" attribute="1" defaultMemberUniqueName="[Raw_Data].[Total Records].[All]" allUniqueName="[Raw_Data].[Total Records].[All]" dimensionUniqueName="[Raw_Data]" displayFolder="" count="0" memberValueDatatype="20" unbalanced="0"/>
    <cacheHierarchy uniqueName="[Raw_Data].[Total Match]" caption="Total Match" attribute="1" defaultMemberUniqueName="[Raw_Data].[Total Match].[All]" allUniqueName="[Raw_Data].[Total Match].[All]" dimensionUniqueName="[Raw_Data]" displayFolder="" count="0" memberValueDatatype="20" unbalanced="0"/>
    <cacheHierarchy uniqueName="[Raw_Data].[Score_Order]" caption="Score_Order" attribute="1" defaultMemberUniqueName="[Raw_Data].[Score_Order].[All]" allUniqueName="[Raw_Data].[Score_Order].[All]" dimensionUniqueName="[Raw_Data]" displayFolder="" count="0" memberValueDatatype="20" unbalanced="0"/>
    <cacheHierarchy uniqueName="[Measures].[Sum of Quick Match]" caption="Sum of Quick Match" measure="1" displayFolder="" measureGroup="Raw_Data" count="0">
      <extLst>
        <ext xmlns:x15="http://schemas.microsoft.com/office/spreadsheetml/2010/11/main" uri="{B97F6D7D-B522-45F9-BDA1-12C45D357490}">
          <x15:cacheHierarchy aggregatedColumn="4"/>
        </ext>
      </extLst>
    </cacheHierarchy>
    <cacheHierarchy uniqueName="[Measures].[Sum of Manual Match]" caption="Sum of Manual Match" measure="1" displayFolder="" measureGroup="Raw_Data" count="0">
      <extLst>
        <ext xmlns:x15="http://schemas.microsoft.com/office/spreadsheetml/2010/11/main" uri="{B97F6D7D-B522-45F9-BDA1-12C45D357490}">
          <x15:cacheHierarchy aggregatedColumn="5"/>
        </ext>
      </extLst>
    </cacheHierarchy>
    <cacheHierarchy uniqueName="[Measures].[Sum of Create New]" caption="Sum of Create New" measure="1" displayFolder="" measureGroup="Raw_Data" count="0">
      <extLst>
        <ext xmlns:x15="http://schemas.microsoft.com/office/spreadsheetml/2010/11/main" uri="{B97F6D7D-B522-45F9-BDA1-12C45D357490}">
          <x15:cacheHierarchy aggregatedColumn="6"/>
        </ext>
      </extLst>
    </cacheHierarchy>
    <cacheHierarchy uniqueName="[Measures].[Sum of Not Mapped]" caption="Sum of Not Mapped" measure="1" displayFolder="" measureGroup="Raw_Data" count="0">
      <extLst>
        <ext xmlns:x15="http://schemas.microsoft.com/office/spreadsheetml/2010/11/main" uri="{B97F6D7D-B522-45F9-BDA1-12C45D357490}">
          <x15:cacheHierarchy aggregatedColumn="7"/>
        </ext>
      </extLst>
    </cacheHierarchy>
    <cacheHierarchy uniqueName="[Measures].[Sum of Total Records]" caption="Sum of Total Records" measure="1" displayFolder="" measureGroup="Raw_Data" count="0" oneField="1">
      <fieldsUsage count="1">
        <fieldUsage x="6"/>
      </fieldsUsage>
      <extLst>
        <ext xmlns:x15="http://schemas.microsoft.com/office/spreadsheetml/2010/11/main" uri="{B97F6D7D-B522-45F9-BDA1-12C45D357490}">
          <x15:cacheHierarchy aggregatedColumn="8"/>
        </ext>
      </extLst>
    </cacheHierarchy>
    <cacheHierarchy uniqueName="[Measures].[Sum of Total Match]" caption="Sum of Total Match" measure="1" displayFolder="" measureGroup="Raw_Data" count="0">
      <extLst>
        <ext xmlns:x15="http://schemas.microsoft.com/office/spreadsheetml/2010/11/main" uri="{B97F6D7D-B522-45F9-BDA1-12C45D357490}">
          <x15:cacheHierarchy aggregatedColumn="9"/>
        </ext>
      </extLst>
    </cacheHierarchy>
    <cacheHierarchy uniqueName="[Measures].[Quick Match %]" caption="Quick Match %" measure="1" displayFolder="" measureGroup="Raw_Data" count="0" oneField="1">
      <fieldsUsage count="1">
        <fieldUsage x="0"/>
      </fieldsUsage>
    </cacheHierarchy>
    <cacheHierarchy uniqueName="[Measures].[Manual Match %]" caption="Manual Match %" measure="1" displayFolder="" measureGroup="Raw_Data" count="0" oneField="1">
      <fieldsUsage count="1">
        <fieldUsage x="1"/>
      </fieldsUsage>
    </cacheHierarchy>
    <cacheHierarchy uniqueName="[Measures].[Create New %]" caption="Create New %" measure="1" displayFolder="" measureGroup="Raw_Data" count="0" oneField="1">
      <fieldsUsage count="1">
        <fieldUsage x="2"/>
      </fieldsUsage>
    </cacheHierarchy>
    <cacheHierarchy uniqueName="[Measures].[Not Mapped %]" caption="Not Mapped %" measure="1" displayFolder="" measureGroup="Raw_Data" count="0" oneField="1">
      <fieldsUsage count="1">
        <fieldUsage x="3"/>
      </fieldsUsage>
    </cacheHierarchy>
    <cacheHierarchy uniqueName="[Measures].[Total Match %]" caption="Total Match %" measure="1" displayFolder="" measureGroup="Raw_Data" count="0" oneField="1">
      <fieldsUsage count="1">
        <fieldUsage x="4"/>
      </fieldsUsage>
    </cacheHierarchy>
    <cacheHierarchy uniqueName="[Measures].[Cumulative Total Match %]" caption="Cumulative Total Match %" measure="1" displayFolder="" measureGroup="Raw_Data" count="0"/>
    <cacheHierarchy uniqueName="[Measures].[Cumulative Total Records]" caption="Cumulative Total Records" measure="1" displayFolder="" measureGroup="Raw_Data" count="0"/>
    <cacheHierarchy uniqueName="[Measures].[Cumulative Total Match]" caption="Cumulative Total Match" measure="1" displayFolder="" measureGroup="Raw_Data" count="0"/>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2">
    <dimension measure="1" name="Measures" uniqueName="[Measures]" caption="Measures"/>
    <dimension name="Raw_Data" uniqueName="[Raw_Data]" caption="Raw_Data"/>
  </dimensions>
  <measureGroups count="1">
    <measureGroup name="Raw_Data" caption="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meron, Robert" refreshedDate="46246.682532986109" backgroundQuery="1" createdVersion="8" refreshedVersion="8" minRefreshableVersion="3" recordCount="0" supportSubquery="1" supportAdvancedDrill="1" xr:uid="{2E49E139-B232-4FA6-BEFC-DC4C8A83B196}">
  <cacheSource type="external" connectionId="1"/>
  <cacheFields count="9">
    <cacheField name="[Measures].[Quick Match %]" caption="Quick Match %" numFmtId="0" hierarchy="17" level="32767"/>
    <cacheField name="[Measures].[Manual Match %]" caption="Manual Match %" numFmtId="0" hierarchy="18" level="32767"/>
    <cacheField name="[Measures].[Create New %]" caption="Create New %" numFmtId="0" hierarchy="19" level="32767"/>
    <cacheField name="[Measures].[Not Mapped %]" caption="Not Mapped %" numFmtId="0" hierarchy="20" level="32767"/>
    <cacheField name="[Measures].[Total Match %]" caption="Total Match %" numFmtId="0" hierarchy="21" level="32767"/>
    <cacheField name="[Raw_Data].[Score Range].[Score Range]" caption="Score Range" numFmtId="0" hierarchy="3" level="1">
      <sharedItems count="7">
        <s v="19-0"/>
        <s v="29-20"/>
        <s v="39-30"/>
        <s v="49-40"/>
        <s v="59-50"/>
        <s v="69-60"/>
        <s v="80-70"/>
      </sharedItems>
    </cacheField>
    <cacheField name="[Measures].[Sum of Total Records]" caption="Sum of Total Records" numFmtId="0" hierarchy="15" level="32767"/>
    <cacheField name="[Raw_Data].[Workbook].[Workbook]" caption="Workbook" numFmtId="0" hierarchy="1" level="1">
      <sharedItems count="16">
        <s v="Atlanta Dental"/>
        <s v="Benco Dental Company"/>
        <s v="Darby Dental Supply"/>
        <s v="DC Dental"/>
        <s v="Dental City"/>
        <s v="Dental Health Products"/>
        <s v="Empire Dental Supplies"/>
        <s v="Frontier Dental - USA"/>
        <s v="Goetze Dental"/>
        <s v="Henry Schein Dental"/>
        <s v="Midwest Dental Equipment"/>
        <s v="Nashville Dental Inc"/>
        <s v="Patterson Dental Supply - USA"/>
        <s v="PureLife Dental"/>
        <s v="Reach Dental Equipment Service"/>
        <s v="Safco Dental"/>
      </sharedItems>
    </cacheField>
    <cacheField name="[Measures].[Sum of Total Match]" caption="Sum of Total Match" numFmtId="0" hierarchy="16" level="32767"/>
  </cacheFields>
  <cacheHierarchies count="27">
    <cacheHierarchy uniqueName="[Raw_Data].[Folder]" caption="Folder" attribute="1" defaultMemberUniqueName="[Raw_Data].[Folder].[All]" allUniqueName="[Raw_Data].[Folder].[All]" dimensionUniqueName="[Raw_Data]" displayFolder="" count="0" memberValueDatatype="130" unbalanced="0"/>
    <cacheHierarchy uniqueName="[Raw_Data].[Workbook]" caption="Workbook" attribute="1" defaultMemberUniqueName="[Raw_Data].[Workbook].[All]" allUniqueName="[Raw_Data].[Workbook].[All]" dimensionUniqueName="[Raw_Data]" displayFolder="" count="2" memberValueDatatype="130" unbalanced="0">
      <fieldsUsage count="2">
        <fieldUsage x="-1"/>
        <fieldUsage x="7"/>
      </fieldsUsage>
    </cacheHierarchy>
    <cacheHierarchy uniqueName="[Raw_Data].[Worksheet]" caption="Worksheet" attribute="1" defaultMemberUniqueName="[Raw_Data].[Worksheet].[All]" allUniqueName="[Raw_Data].[Worksheet].[All]" dimensionUniqueName="[Raw_Data]" displayFolder="" count="0" memberValueDatatype="130" unbalanced="0"/>
    <cacheHierarchy uniqueName="[Raw_Data].[Score Range]" caption="Score Range" attribute="1" defaultMemberUniqueName="[Raw_Data].[Score Range].[All]" allUniqueName="[Raw_Data].[Score Range].[All]" dimensionUniqueName="[Raw_Data]" displayFolder="" count="2" memberValueDatatype="130" unbalanced="0">
      <fieldsUsage count="2">
        <fieldUsage x="-1"/>
        <fieldUsage x="5"/>
      </fieldsUsage>
    </cacheHierarchy>
    <cacheHierarchy uniqueName="[Raw_Data].[Quick Match]" caption="Quick Match" attribute="1" defaultMemberUniqueName="[Raw_Data].[Quick Match].[All]" allUniqueName="[Raw_Data].[Quick Match].[All]" dimensionUniqueName="[Raw_Data]" displayFolder="" count="0" memberValueDatatype="20" unbalanced="0"/>
    <cacheHierarchy uniqueName="[Raw_Data].[Manual Match]" caption="Manual Match" attribute="1" defaultMemberUniqueName="[Raw_Data].[Manual Match].[All]" allUniqueName="[Raw_Data].[Manual Match].[All]" dimensionUniqueName="[Raw_Data]" displayFolder="" count="0" memberValueDatatype="20" unbalanced="0"/>
    <cacheHierarchy uniqueName="[Raw_Data].[Create New]" caption="Create New" attribute="1" defaultMemberUniqueName="[Raw_Data].[Create New].[All]" allUniqueName="[Raw_Data].[Create New].[All]" dimensionUniqueName="[Raw_Data]" displayFolder="" count="0" memberValueDatatype="20" unbalanced="0"/>
    <cacheHierarchy uniqueName="[Raw_Data].[Not Mapped]" caption="Not Mapped" attribute="1" defaultMemberUniqueName="[Raw_Data].[Not Mapped].[All]" allUniqueName="[Raw_Data].[Not Mapped].[All]" dimensionUniqueName="[Raw_Data]" displayFolder="" count="0" memberValueDatatype="20" unbalanced="0"/>
    <cacheHierarchy uniqueName="[Raw_Data].[Total Records]" caption="Total Records" attribute="1" defaultMemberUniqueName="[Raw_Data].[Total Records].[All]" allUniqueName="[Raw_Data].[Total Records].[All]" dimensionUniqueName="[Raw_Data]" displayFolder="" count="0" memberValueDatatype="20" unbalanced="0"/>
    <cacheHierarchy uniqueName="[Raw_Data].[Total Match]" caption="Total Match" attribute="1" defaultMemberUniqueName="[Raw_Data].[Total Match].[All]" allUniqueName="[Raw_Data].[Total Match].[All]" dimensionUniqueName="[Raw_Data]" displayFolder="" count="0" memberValueDatatype="20" unbalanced="0"/>
    <cacheHierarchy uniqueName="[Raw_Data].[Score_Order]" caption="Score_Order" attribute="1" defaultMemberUniqueName="[Raw_Data].[Score_Order].[All]" allUniqueName="[Raw_Data].[Score_Order].[All]" dimensionUniqueName="[Raw_Data]" displayFolder="" count="0" memberValueDatatype="20" unbalanced="0"/>
    <cacheHierarchy uniqueName="[Measures].[Sum of Quick Match]" caption="Sum of Quick Match" measure="1" displayFolder="" measureGroup="Raw_Data" count="0">
      <extLst>
        <ext xmlns:x15="http://schemas.microsoft.com/office/spreadsheetml/2010/11/main" uri="{B97F6D7D-B522-45F9-BDA1-12C45D357490}">
          <x15:cacheHierarchy aggregatedColumn="4"/>
        </ext>
      </extLst>
    </cacheHierarchy>
    <cacheHierarchy uniqueName="[Measures].[Sum of Manual Match]" caption="Sum of Manual Match" measure="1" displayFolder="" measureGroup="Raw_Data" count="0">
      <extLst>
        <ext xmlns:x15="http://schemas.microsoft.com/office/spreadsheetml/2010/11/main" uri="{B97F6D7D-B522-45F9-BDA1-12C45D357490}">
          <x15:cacheHierarchy aggregatedColumn="5"/>
        </ext>
      </extLst>
    </cacheHierarchy>
    <cacheHierarchy uniqueName="[Measures].[Sum of Create New]" caption="Sum of Create New" measure="1" displayFolder="" measureGroup="Raw_Data" count="0">
      <extLst>
        <ext xmlns:x15="http://schemas.microsoft.com/office/spreadsheetml/2010/11/main" uri="{B97F6D7D-B522-45F9-BDA1-12C45D357490}">
          <x15:cacheHierarchy aggregatedColumn="6"/>
        </ext>
      </extLst>
    </cacheHierarchy>
    <cacheHierarchy uniqueName="[Measures].[Sum of Not Mapped]" caption="Sum of Not Mapped" measure="1" displayFolder="" measureGroup="Raw_Data" count="0">
      <extLst>
        <ext xmlns:x15="http://schemas.microsoft.com/office/spreadsheetml/2010/11/main" uri="{B97F6D7D-B522-45F9-BDA1-12C45D357490}">
          <x15:cacheHierarchy aggregatedColumn="7"/>
        </ext>
      </extLst>
    </cacheHierarchy>
    <cacheHierarchy uniqueName="[Measures].[Sum of Total Records]" caption="Sum of Total Records" measure="1" displayFolder="" measureGroup="Raw_Data" count="0" oneField="1">
      <fieldsUsage count="1">
        <fieldUsage x="6"/>
      </fieldsUsage>
      <extLst>
        <ext xmlns:x15="http://schemas.microsoft.com/office/spreadsheetml/2010/11/main" uri="{B97F6D7D-B522-45F9-BDA1-12C45D357490}">
          <x15:cacheHierarchy aggregatedColumn="8"/>
        </ext>
      </extLst>
    </cacheHierarchy>
    <cacheHierarchy uniqueName="[Measures].[Sum of Total Match]" caption="Sum of Total Match" measure="1" displayFolder="" measureGroup="Raw_Data" count="0" oneField="1">
      <fieldsUsage count="1">
        <fieldUsage x="8"/>
      </fieldsUsage>
      <extLst>
        <ext xmlns:x15="http://schemas.microsoft.com/office/spreadsheetml/2010/11/main" uri="{B97F6D7D-B522-45F9-BDA1-12C45D357490}">
          <x15:cacheHierarchy aggregatedColumn="9"/>
        </ext>
      </extLst>
    </cacheHierarchy>
    <cacheHierarchy uniqueName="[Measures].[Quick Match %]" caption="Quick Match %" measure="1" displayFolder="" measureGroup="Raw_Data" count="0" oneField="1">
      <fieldsUsage count="1">
        <fieldUsage x="0"/>
      </fieldsUsage>
    </cacheHierarchy>
    <cacheHierarchy uniqueName="[Measures].[Manual Match %]" caption="Manual Match %" measure="1" displayFolder="" measureGroup="Raw_Data" count="0" oneField="1">
      <fieldsUsage count="1">
        <fieldUsage x="1"/>
      </fieldsUsage>
    </cacheHierarchy>
    <cacheHierarchy uniqueName="[Measures].[Create New %]" caption="Create New %" measure="1" displayFolder="" measureGroup="Raw_Data" count="0" oneField="1">
      <fieldsUsage count="1">
        <fieldUsage x="2"/>
      </fieldsUsage>
    </cacheHierarchy>
    <cacheHierarchy uniqueName="[Measures].[Not Mapped %]" caption="Not Mapped %" measure="1" displayFolder="" measureGroup="Raw_Data" count="0" oneField="1">
      <fieldsUsage count="1">
        <fieldUsage x="3"/>
      </fieldsUsage>
    </cacheHierarchy>
    <cacheHierarchy uniqueName="[Measures].[Total Match %]" caption="Total Match %" measure="1" displayFolder="" measureGroup="Raw_Data" count="0" oneField="1">
      <fieldsUsage count="1">
        <fieldUsage x="4"/>
      </fieldsUsage>
    </cacheHierarchy>
    <cacheHierarchy uniqueName="[Measures].[Cumulative Total Match %]" caption="Cumulative Total Match %" measure="1" displayFolder="" measureGroup="Raw_Data" count="0"/>
    <cacheHierarchy uniqueName="[Measures].[Cumulative Total Records]" caption="Cumulative Total Records" measure="1" displayFolder="" measureGroup="Raw_Data" count="0"/>
    <cacheHierarchy uniqueName="[Measures].[Cumulative Total Match]" caption="Cumulative Total Match" measure="1" displayFolder="" measureGroup="Raw_Data" count="0"/>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2">
    <dimension measure="1" name="Measures" uniqueName="[Measures]" caption="Measures"/>
    <dimension name="Raw_Data" uniqueName="[Raw_Data]" caption="Raw_Data"/>
  </dimensions>
  <measureGroups count="1">
    <measureGroup name="Raw_Data" caption="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meron, Robert" refreshedDate="46246.682854166669" backgroundQuery="1" createdVersion="8" refreshedVersion="8" minRefreshableVersion="3" recordCount="0" supportSubquery="1" supportAdvancedDrill="1" xr:uid="{00B51026-4988-464F-A500-0D752BB0C7B9}">
  <cacheSource type="external" connectionId="1"/>
  <cacheFields count="8">
    <cacheField name="[Measures].[Total Match %]" caption="Total Match %" numFmtId="0" hierarchy="21" level="32767"/>
    <cacheField name="[Raw_Data].[Score Range].[Score Range]" caption="Score Range" numFmtId="0" hierarchy="3" level="1">
      <sharedItems count="7">
        <s v="19-0"/>
        <s v="29-20"/>
        <s v="39-30"/>
        <s v="49-40"/>
        <s v="59-50"/>
        <s v="69-60"/>
        <s v="80-70"/>
      </sharedItems>
    </cacheField>
    <cacheField name="[Measures].[Sum of Total Records]" caption="Sum of Total Records" numFmtId="0" hierarchy="15" level="32767"/>
    <cacheField name="[Raw_Data].[Workbook].[Workbook]" caption="Workbook" numFmtId="0" hierarchy="1" level="1">
      <sharedItems count="16">
        <s v="Atlanta Dental"/>
        <s v="Benco Dental Company"/>
        <s v="Darby Dental Supply"/>
        <s v="DC Dental"/>
        <s v="Dental City"/>
        <s v="Dental Health Products"/>
        <s v="Empire Dental Supplies"/>
        <s v="Frontier Dental - USA"/>
        <s v="Goetze Dental"/>
        <s v="Henry Schein Dental"/>
        <s v="Midwest Dental Equipment"/>
        <s v="Nashville Dental Inc"/>
        <s v="Patterson Dental Supply - USA"/>
        <s v="PureLife Dental"/>
        <s v="Reach Dental Equipment Service"/>
        <s v="Safco Dental"/>
      </sharedItems>
    </cacheField>
    <cacheField name="[Measures].[Cumulative Total Match %]" caption="Cumulative Total Match %" numFmtId="0" hierarchy="22" level="32767"/>
    <cacheField name="[Measures].[Cumulative Total Records]" caption="Cumulative Total Records" numFmtId="0" hierarchy="23" level="32767"/>
    <cacheField name="[Measures].[Cumulative Total Match]" caption="Cumulative Total Match" numFmtId="0" hierarchy="24" level="32767"/>
    <cacheField name="[Measures].[Sum of Total Match]" caption="Sum of Total Match" numFmtId="0" hierarchy="16" level="32767"/>
  </cacheFields>
  <cacheHierarchies count="27">
    <cacheHierarchy uniqueName="[Raw_Data].[Folder]" caption="Folder" attribute="1" defaultMemberUniqueName="[Raw_Data].[Folder].[All]" allUniqueName="[Raw_Data].[Folder].[All]" dimensionUniqueName="[Raw_Data]" displayFolder="" count="0" memberValueDatatype="130" unbalanced="0"/>
    <cacheHierarchy uniqueName="[Raw_Data].[Workbook]" caption="Workbook" attribute="1" defaultMemberUniqueName="[Raw_Data].[Workbook].[All]" allUniqueName="[Raw_Data].[Workbook].[All]" dimensionUniqueName="[Raw_Data]" displayFolder="" count="2" memberValueDatatype="130" unbalanced="0">
      <fieldsUsage count="2">
        <fieldUsage x="-1"/>
        <fieldUsage x="3"/>
      </fieldsUsage>
    </cacheHierarchy>
    <cacheHierarchy uniqueName="[Raw_Data].[Worksheet]" caption="Worksheet" attribute="1" defaultMemberUniqueName="[Raw_Data].[Worksheet].[All]" allUniqueName="[Raw_Data].[Worksheet].[All]" dimensionUniqueName="[Raw_Data]" displayFolder="" count="0" memberValueDatatype="130" unbalanced="0"/>
    <cacheHierarchy uniqueName="[Raw_Data].[Score Range]" caption="Score Range" attribute="1" defaultMemberUniqueName="[Raw_Data].[Score Range].[All]" allUniqueName="[Raw_Data].[Score Range].[All]" dimensionUniqueName="[Raw_Data]" displayFolder="" count="2" memberValueDatatype="130" unbalanced="0">
      <fieldsUsage count="2">
        <fieldUsage x="-1"/>
        <fieldUsage x="1"/>
      </fieldsUsage>
    </cacheHierarchy>
    <cacheHierarchy uniqueName="[Raw_Data].[Quick Match]" caption="Quick Match" attribute="1" defaultMemberUniqueName="[Raw_Data].[Quick Match].[All]" allUniqueName="[Raw_Data].[Quick Match].[All]" dimensionUniqueName="[Raw_Data]" displayFolder="" count="0" memberValueDatatype="20" unbalanced="0"/>
    <cacheHierarchy uniqueName="[Raw_Data].[Manual Match]" caption="Manual Match" attribute="1" defaultMemberUniqueName="[Raw_Data].[Manual Match].[All]" allUniqueName="[Raw_Data].[Manual Match].[All]" dimensionUniqueName="[Raw_Data]" displayFolder="" count="0" memberValueDatatype="20" unbalanced="0"/>
    <cacheHierarchy uniqueName="[Raw_Data].[Create New]" caption="Create New" attribute="1" defaultMemberUniqueName="[Raw_Data].[Create New].[All]" allUniqueName="[Raw_Data].[Create New].[All]" dimensionUniqueName="[Raw_Data]" displayFolder="" count="0" memberValueDatatype="20" unbalanced="0"/>
    <cacheHierarchy uniqueName="[Raw_Data].[Not Mapped]" caption="Not Mapped" attribute="1" defaultMemberUniqueName="[Raw_Data].[Not Mapped].[All]" allUniqueName="[Raw_Data].[Not Mapped].[All]" dimensionUniqueName="[Raw_Data]" displayFolder="" count="0" memberValueDatatype="20" unbalanced="0"/>
    <cacheHierarchy uniqueName="[Raw_Data].[Total Records]" caption="Total Records" attribute="1" defaultMemberUniqueName="[Raw_Data].[Total Records].[All]" allUniqueName="[Raw_Data].[Total Records].[All]" dimensionUniqueName="[Raw_Data]" displayFolder="" count="0" memberValueDatatype="20" unbalanced="0"/>
    <cacheHierarchy uniqueName="[Raw_Data].[Total Match]" caption="Total Match" attribute="1" defaultMemberUniqueName="[Raw_Data].[Total Match].[All]" allUniqueName="[Raw_Data].[Total Match].[All]" dimensionUniqueName="[Raw_Data]" displayFolder="" count="0" memberValueDatatype="20" unbalanced="0"/>
    <cacheHierarchy uniqueName="[Raw_Data].[Score_Order]" caption="Score_Order" attribute="1" defaultMemberUniqueName="[Raw_Data].[Score_Order].[All]" allUniqueName="[Raw_Data].[Score_Order].[All]" dimensionUniqueName="[Raw_Data]" displayFolder="" count="0" memberValueDatatype="20" unbalanced="0"/>
    <cacheHierarchy uniqueName="[Measures].[Sum of Quick Match]" caption="Sum of Quick Match" measure="1" displayFolder="" measureGroup="Raw_Data" count="0">
      <extLst>
        <ext xmlns:x15="http://schemas.microsoft.com/office/spreadsheetml/2010/11/main" uri="{B97F6D7D-B522-45F9-BDA1-12C45D357490}">
          <x15:cacheHierarchy aggregatedColumn="4"/>
        </ext>
      </extLst>
    </cacheHierarchy>
    <cacheHierarchy uniqueName="[Measures].[Sum of Manual Match]" caption="Sum of Manual Match" measure="1" displayFolder="" measureGroup="Raw_Data" count="0">
      <extLst>
        <ext xmlns:x15="http://schemas.microsoft.com/office/spreadsheetml/2010/11/main" uri="{B97F6D7D-B522-45F9-BDA1-12C45D357490}">
          <x15:cacheHierarchy aggregatedColumn="5"/>
        </ext>
      </extLst>
    </cacheHierarchy>
    <cacheHierarchy uniqueName="[Measures].[Sum of Create New]" caption="Sum of Create New" measure="1" displayFolder="" measureGroup="Raw_Data" count="0">
      <extLst>
        <ext xmlns:x15="http://schemas.microsoft.com/office/spreadsheetml/2010/11/main" uri="{B97F6D7D-B522-45F9-BDA1-12C45D357490}">
          <x15:cacheHierarchy aggregatedColumn="6"/>
        </ext>
      </extLst>
    </cacheHierarchy>
    <cacheHierarchy uniqueName="[Measures].[Sum of Not Mapped]" caption="Sum of Not Mapped" measure="1" displayFolder="" measureGroup="Raw_Data" count="0">
      <extLst>
        <ext xmlns:x15="http://schemas.microsoft.com/office/spreadsheetml/2010/11/main" uri="{B97F6D7D-B522-45F9-BDA1-12C45D357490}">
          <x15:cacheHierarchy aggregatedColumn="7"/>
        </ext>
      </extLst>
    </cacheHierarchy>
    <cacheHierarchy uniqueName="[Measures].[Sum of Total Records]" caption="Sum of Total Records" measure="1" displayFolder="" measureGroup="Raw_Data" count="0" oneField="1">
      <fieldsUsage count="1">
        <fieldUsage x="2"/>
      </fieldsUsage>
      <extLst>
        <ext xmlns:x15="http://schemas.microsoft.com/office/spreadsheetml/2010/11/main" uri="{B97F6D7D-B522-45F9-BDA1-12C45D357490}">
          <x15:cacheHierarchy aggregatedColumn="8"/>
        </ext>
      </extLst>
    </cacheHierarchy>
    <cacheHierarchy uniqueName="[Measures].[Sum of Total Match]" caption="Sum of Total Match" measure="1" displayFolder="" measureGroup="Raw_Data" count="0" oneField="1">
      <fieldsUsage count="1">
        <fieldUsage x="7"/>
      </fieldsUsage>
      <extLst>
        <ext xmlns:x15="http://schemas.microsoft.com/office/spreadsheetml/2010/11/main" uri="{B97F6D7D-B522-45F9-BDA1-12C45D357490}">
          <x15:cacheHierarchy aggregatedColumn="9"/>
        </ext>
      </extLst>
    </cacheHierarchy>
    <cacheHierarchy uniqueName="[Measures].[Quick Match %]" caption="Quick Match %" measure="1" displayFolder="" measureGroup="Raw_Data" count="0"/>
    <cacheHierarchy uniqueName="[Measures].[Manual Match %]" caption="Manual Match %" measure="1" displayFolder="" measureGroup="Raw_Data" count="0"/>
    <cacheHierarchy uniqueName="[Measures].[Create New %]" caption="Create New %" measure="1" displayFolder="" measureGroup="Raw_Data" count="0"/>
    <cacheHierarchy uniqueName="[Measures].[Not Mapped %]" caption="Not Mapped %" measure="1" displayFolder="" measureGroup="Raw_Data" count="0"/>
    <cacheHierarchy uniqueName="[Measures].[Total Match %]" caption="Total Match %" measure="1" displayFolder="" measureGroup="Raw_Data" count="0" oneField="1">
      <fieldsUsage count="1">
        <fieldUsage x="0"/>
      </fieldsUsage>
    </cacheHierarchy>
    <cacheHierarchy uniqueName="[Measures].[Cumulative Total Match %]" caption="Cumulative Total Match %" measure="1" displayFolder="" measureGroup="Raw_Data" count="0" oneField="1">
      <fieldsUsage count="1">
        <fieldUsage x="4"/>
      </fieldsUsage>
    </cacheHierarchy>
    <cacheHierarchy uniqueName="[Measures].[Cumulative Total Records]" caption="Cumulative Total Records" measure="1" displayFolder="" measureGroup="Raw_Data" count="0" oneField="1">
      <fieldsUsage count="1">
        <fieldUsage x="5"/>
      </fieldsUsage>
    </cacheHierarchy>
    <cacheHierarchy uniqueName="[Measures].[Cumulative Total Match]" caption="Cumulative Total Match" measure="1" displayFolder="" measureGroup="Raw_Data" count="0" oneField="1">
      <fieldsUsage count="1">
        <fieldUsage x="6"/>
      </fieldsUsage>
    </cacheHierarchy>
    <cacheHierarchy uniqueName="[Measures].[__XL_Count Raw_Data]" caption="__XL_Count Raw_Data" measure="1" displayFolder="" measureGroup="Raw_Data" count="0" hidden="1"/>
    <cacheHierarchy uniqueName="[Measures].[__No measures defined]" caption="__No measures defined" measure="1" displayFolder="" count="0" hidden="1"/>
  </cacheHierarchies>
  <kpis count="0"/>
  <dimensions count="2">
    <dimension measure="1" name="Measures" uniqueName="[Measures]" caption="Measures"/>
    <dimension name="Raw_Data" uniqueName="[Raw_Data]" caption="Raw_Data"/>
  </dimensions>
  <measureGroups count="1">
    <measureGroup name="Raw_Data" caption="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5CB6CB-7748-4909-B00E-70D700FB3F2C}" name="PivotTable1" cacheId="3" applyNumberFormats="0" applyBorderFormats="0" applyFontFormats="0" applyPatternFormats="0" applyAlignmentFormats="0" applyWidthHeightFormats="1" dataCaption="Values" tag="3b04e728-2e04-4b14-b119-3cfb450babab" updatedVersion="8" minRefreshableVersion="3" subtotalHiddenItems="1" itemPrintTitles="1" createdVersion="8" indent="0" compact="0" compactData="0" multipleFieldFilters="0" chartFormat="16" rowHeaderCaption="Worksheets">
  <location ref="B3:I132" firstHeaderRow="0" firstDataRow="1" firstDataCol="2"/>
  <pivotFields count="8">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sortType="descending" defaultAttributeDrillState="1">
      <items count="8">
        <item x="6"/>
        <item x="5"/>
        <item x="4"/>
        <item x="3"/>
        <item x="2"/>
        <item x="1"/>
        <item x="0"/>
        <item t="default"/>
      </items>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axis="axisRow" compact="0" allDrilled="1" outline="0" subtotalTop="0" showAll="0" dataSourceSort="1" defaultAttributeDrillState="1">
      <items count="17">
        <item x="0"/>
        <item x="1"/>
        <item x="2"/>
        <item x="3"/>
        <item x="4"/>
        <item x="5"/>
        <item x="6"/>
        <item x="7"/>
        <item x="8"/>
        <item x="9"/>
        <item x="10"/>
        <item x="11"/>
        <item x="12"/>
        <item x="13"/>
        <item x="14"/>
        <item x="15"/>
        <item t="default"/>
      </items>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s>
  <rowFields count="2">
    <field x="3"/>
    <field x="1"/>
  </rowFields>
  <rowItems count="129">
    <i>
      <x/>
      <x/>
    </i>
    <i r="1">
      <x v="1"/>
    </i>
    <i r="1">
      <x v="2"/>
    </i>
    <i r="1">
      <x v="3"/>
    </i>
    <i r="1">
      <x v="4"/>
    </i>
    <i r="1">
      <x v="5"/>
    </i>
    <i r="1">
      <x v="6"/>
    </i>
    <i t="default">
      <x/>
    </i>
    <i>
      <x v="1"/>
      <x/>
    </i>
    <i r="1">
      <x v="1"/>
    </i>
    <i r="1">
      <x v="2"/>
    </i>
    <i r="1">
      <x v="3"/>
    </i>
    <i r="1">
      <x v="4"/>
    </i>
    <i r="1">
      <x v="5"/>
    </i>
    <i r="1">
      <x v="6"/>
    </i>
    <i t="default">
      <x v="1"/>
    </i>
    <i>
      <x v="2"/>
      <x/>
    </i>
    <i r="1">
      <x v="1"/>
    </i>
    <i r="1">
      <x v="2"/>
    </i>
    <i r="1">
      <x v="3"/>
    </i>
    <i r="1">
      <x v="4"/>
    </i>
    <i r="1">
      <x v="5"/>
    </i>
    <i r="1">
      <x v="6"/>
    </i>
    <i t="default">
      <x v="2"/>
    </i>
    <i>
      <x v="3"/>
      <x/>
    </i>
    <i r="1">
      <x v="1"/>
    </i>
    <i r="1">
      <x v="2"/>
    </i>
    <i r="1">
      <x v="3"/>
    </i>
    <i r="1">
      <x v="4"/>
    </i>
    <i r="1">
      <x v="5"/>
    </i>
    <i r="1">
      <x v="6"/>
    </i>
    <i t="default">
      <x v="3"/>
    </i>
    <i>
      <x v="4"/>
      <x/>
    </i>
    <i r="1">
      <x v="1"/>
    </i>
    <i r="1">
      <x v="2"/>
    </i>
    <i r="1">
      <x v="3"/>
    </i>
    <i r="1">
      <x v="4"/>
    </i>
    <i r="1">
      <x v="5"/>
    </i>
    <i r="1">
      <x v="6"/>
    </i>
    <i t="default">
      <x v="4"/>
    </i>
    <i>
      <x v="5"/>
      <x/>
    </i>
    <i r="1">
      <x v="1"/>
    </i>
    <i r="1">
      <x v="2"/>
    </i>
    <i r="1">
      <x v="3"/>
    </i>
    <i r="1">
      <x v="4"/>
    </i>
    <i r="1">
      <x v="5"/>
    </i>
    <i r="1">
      <x v="6"/>
    </i>
    <i t="default">
      <x v="5"/>
    </i>
    <i>
      <x v="6"/>
      <x/>
    </i>
    <i r="1">
      <x v="1"/>
    </i>
    <i r="1">
      <x v="2"/>
    </i>
    <i r="1">
      <x v="3"/>
    </i>
    <i r="1">
      <x v="4"/>
    </i>
    <i r="1">
      <x v="5"/>
    </i>
    <i r="1">
      <x v="6"/>
    </i>
    <i t="default">
      <x v="6"/>
    </i>
    <i>
      <x v="7"/>
      <x/>
    </i>
    <i r="1">
      <x v="1"/>
    </i>
    <i r="1">
      <x v="2"/>
    </i>
    <i r="1">
      <x v="3"/>
    </i>
    <i r="1">
      <x v="4"/>
    </i>
    <i r="1">
      <x v="5"/>
    </i>
    <i r="1">
      <x v="6"/>
    </i>
    <i t="default">
      <x v="7"/>
    </i>
    <i>
      <x v="8"/>
      <x/>
    </i>
    <i r="1">
      <x v="1"/>
    </i>
    <i r="1">
      <x v="2"/>
    </i>
    <i r="1">
      <x v="3"/>
    </i>
    <i r="1">
      <x v="4"/>
    </i>
    <i r="1">
      <x v="5"/>
    </i>
    <i r="1">
      <x v="6"/>
    </i>
    <i t="default">
      <x v="8"/>
    </i>
    <i>
      <x v="9"/>
      <x/>
    </i>
    <i r="1">
      <x v="1"/>
    </i>
    <i r="1">
      <x v="2"/>
    </i>
    <i r="1">
      <x v="3"/>
    </i>
    <i r="1">
      <x v="4"/>
    </i>
    <i r="1">
      <x v="5"/>
    </i>
    <i r="1">
      <x v="6"/>
    </i>
    <i t="default">
      <x v="9"/>
    </i>
    <i>
      <x v="10"/>
      <x/>
    </i>
    <i r="1">
      <x v="1"/>
    </i>
    <i r="1">
      <x v="2"/>
    </i>
    <i r="1">
      <x v="3"/>
    </i>
    <i r="1">
      <x v="4"/>
    </i>
    <i r="1">
      <x v="5"/>
    </i>
    <i r="1">
      <x v="6"/>
    </i>
    <i t="default">
      <x v="10"/>
    </i>
    <i>
      <x v="11"/>
      <x/>
    </i>
    <i r="1">
      <x v="1"/>
    </i>
    <i r="1">
      <x v="2"/>
    </i>
    <i r="1">
      <x v="3"/>
    </i>
    <i r="1">
      <x v="4"/>
    </i>
    <i r="1">
      <x v="5"/>
    </i>
    <i r="1">
      <x v="6"/>
    </i>
    <i t="default">
      <x v="11"/>
    </i>
    <i>
      <x v="12"/>
      <x/>
    </i>
    <i r="1">
      <x v="1"/>
    </i>
    <i r="1">
      <x v="2"/>
    </i>
    <i r="1">
      <x v="3"/>
    </i>
    <i r="1">
      <x v="4"/>
    </i>
    <i r="1">
      <x v="5"/>
    </i>
    <i r="1">
      <x v="6"/>
    </i>
    <i t="default">
      <x v="12"/>
    </i>
    <i>
      <x v="13"/>
      <x/>
    </i>
    <i r="1">
      <x v="1"/>
    </i>
    <i r="1">
      <x v="2"/>
    </i>
    <i r="1">
      <x v="3"/>
    </i>
    <i r="1">
      <x v="4"/>
    </i>
    <i r="1">
      <x v="5"/>
    </i>
    <i r="1">
      <x v="6"/>
    </i>
    <i t="default">
      <x v="13"/>
    </i>
    <i>
      <x v="14"/>
      <x/>
    </i>
    <i r="1">
      <x v="1"/>
    </i>
    <i r="1">
      <x v="2"/>
    </i>
    <i r="1">
      <x v="3"/>
    </i>
    <i r="1">
      <x v="4"/>
    </i>
    <i r="1">
      <x v="5"/>
    </i>
    <i r="1">
      <x v="6"/>
    </i>
    <i t="default">
      <x v="14"/>
    </i>
    <i>
      <x v="15"/>
      <x/>
    </i>
    <i r="1">
      <x v="1"/>
    </i>
    <i r="1">
      <x v="2"/>
    </i>
    <i r="1">
      <x v="3"/>
    </i>
    <i r="1">
      <x v="4"/>
    </i>
    <i r="1">
      <x v="5"/>
    </i>
    <i r="1">
      <x v="6"/>
    </i>
    <i t="default">
      <x v="15"/>
    </i>
    <i t="grand">
      <x/>
    </i>
  </rowItems>
  <colFields count="1">
    <field x="-2"/>
  </colFields>
  <colItems count="6">
    <i>
      <x/>
    </i>
    <i i="1">
      <x v="1"/>
    </i>
    <i i="2">
      <x v="2"/>
    </i>
    <i i="3">
      <x v="3"/>
    </i>
    <i i="4">
      <x v="4"/>
    </i>
    <i i="5">
      <x v="5"/>
    </i>
  </colItems>
  <dataFields count="6">
    <dataField name="Sum of Total Match" fld="7" baseField="0" baseItem="0"/>
    <dataField name="Sum of Total Records" fld="2" baseField="0" baseItem="0"/>
    <dataField fld="0" subtotal="count" baseField="0" baseItem="0" numFmtId="164"/>
    <dataField fld="6" subtotal="count" baseField="0" baseItem="0"/>
    <dataField fld="5" subtotal="count" baseField="0" baseItem="0"/>
    <dataField fld="4" subtotal="count" baseField="0" baseItem="0"/>
  </dataFields>
  <formats count="11">
    <format dxfId="55">
      <pivotArea outline="0" collapsedLevelsAreSubtotals="1" fieldPosition="0"/>
    </format>
    <format dxfId="54">
      <pivotArea dataOnly="0" labelOnly="1" outline="0" fieldPosition="0">
        <references count="1">
          <reference field="4294967294" count="1">
            <x v="2"/>
          </reference>
        </references>
      </pivotArea>
    </format>
    <format dxfId="53">
      <pivotArea outline="0" collapsedLevelsAreSubtotals="1" fieldPosition="0"/>
    </format>
    <format dxfId="52">
      <pivotArea dataOnly="0" labelOnly="1" outline="0" fieldPosition="0">
        <references count="1">
          <reference field="4294967294" count="1">
            <x v="2"/>
          </reference>
        </references>
      </pivotArea>
    </format>
    <format dxfId="51">
      <pivotArea dataOnly="0" labelOnly="1" grandRow="1" outline="0" fieldPosition="0"/>
    </format>
    <format dxfId="50">
      <pivotArea type="all" dataOnly="0" outline="0" fieldPosition="0"/>
    </format>
    <format dxfId="49">
      <pivotArea outline="0" collapsedLevelsAreSubtotals="1" fieldPosition="0"/>
    </format>
    <format dxfId="48">
      <pivotArea dataOnly="0" labelOnly="1" grandRow="1" outline="0" fieldPosition="0"/>
    </format>
    <format dxfId="47">
      <pivotArea dataOnly="0" labelOnly="1" outline="0" fieldPosition="0">
        <references count="1">
          <reference field="4294967294" count="2">
            <x v="1"/>
            <x v="2"/>
          </reference>
        </references>
      </pivotArea>
    </format>
    <format dxfId="46">
      <pivotArea outline="0" collapsedLevelsAreSubtotals="1" fieldPosition="0">
        <references count="1">
          <reference field="4294967294" count="1" selected="0">
            <x v="2"/>
          </reference>
        </references>
      </pivotArea>
    </format>
    <format dxfId="45">
      <pivotArea dataOnly="0" labelOnly="1" outline="0" fieldPosition="0">
        <references count="1">
          <reference field="4294967294" count="1">
            <x v="2"/>
          </reference>
        </references>
      </pivotArea>
    </format>
  </formats>
  <chartFormats count="2">
    <chartFormat chart="0" format="8" series="1">
      <pivotArea type="data" outline="0" fieldPosition="0">
        <references count="1">
          <reference field="4294967294" count="1" selected="0">
            <x v="2"/>
          </reference>
        </references>
      </pivotArea>
    </chartFormat>
    <chartFormat chart="0" format="11" series="1">
      <pivotArea type="data" outline="0" fieldPosition="0">
        <references count="1">
          <reference field="4294967294" count="1" selected="0">
            <x v="1"/>
          </reference>
        </references>
      </pivotArea>
    </chartFormat>
  </chartFormats>
  <pivotHierarchies count="27">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Quick Match "/>
    <pivotHierarchy dragToData="1" caption="Manual Match "/>
    <pivotHierarchy dragToData="1" caption="Create New "/>
    <pivotHierarchy dragToData="1" caption="Not Mapped "/>
    <pivotHierarchy dragToData="1" caption="Total Records "/>
    <pivotHierarchy dragToData="1" caption="Total Match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Final_20260707_Analysis.xlsx!Raw_Data">
        <x15:activeTabTopLevelEntity name="[Raw_Data]"/>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59437F-2286-4B5B-8B23-E2E36A939CDF}" name="PivotTable1" cacheId="2" applyNumberFormats="0" applyBorderFormats="0" applyFontFormats="0" applyPatternFormats="0" applyAlignmentFormats="0" applyWidthHeightFormats="1" dataCaption="Values" tag="30f7086f-485f-453d-b9c8-cedde67824d9" updatedVersion="8" minRefreshableVersion="3" useAutoFormatting="1" subtotalHiddenItems="1" itemPrintTitles="1" createdVersion="8" indent="0" outline="1" outlineData="1" multipleFieldFilters="0" chartFormat="16" rowHeaderCaption="Distributors">
  <location ref="B3:I20" firstHeaderRow="0" firstDataRow="1"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sortType="descending" defaultAttributeDrillState="1">
      <items count="8">
        <item x="6"/>
        <item x="5"/>
        <item x="4"/>
        <item x="3"/>
        <item x="2"/>
        <item x="1"/>
        <item x="0"/>
        <item t="default"/>
      </items>
    </pivotField>
    <pivotField dataField="1" subtotalTop="0" showAll="0"/>
    <pivotField axis="axisRow" allDrilled="1" subtotalTop="0" showAll="0" sortType="descending" defaultAttributeDrillState="1">
      <items count="17">
        <item x="0"/>
        <item x="1"/>
        <item x="2"/>
        <item x="3"/>
        <item x="4"/>
        <item x="5"/>
        <item x="6"/>
        <item x="7"/>
        <item x="8"/>
        <item x="9"/>
        <item x="10"/>
        <item x="11"/>
        <item x="12"/>
        <item x="13"/>
        <item x="14"/>
        <item x="15"/>
        <item t="default"/>
      </items>
      <autoSortScope>
        <pivotArea dataOnly="0" outline="0" fieldPosition="0">
          <references count="1">
            <reference field="4294967294" count="1" selected="0">
              <x v="0"/>
            </reference>
          </references>
        </pivotArea>
      </autoSortScope>
    </pivotField>
    <pivotField dataField="1" subtotalTop="0" showAll="0"/>
  </pivotFields>
  <rowFields count="1">
    <field x="7"/>
  </rowFields>
  <rowItems count="17">
    <i>
      <x v="7"/>
    </i>
    <i>
      <x v="9"/>
    </i>
    <i>
      <x v="1"/>
    </i>
    <i>
      <x v="12"/>
    </i>
    <i>
      <x v="4"/>
    </i>
    <i>
      <x v="3"/>
    </i>
    <i>
      <x v="15"/>
    </i>
    <i>
      <x v="5"/>
    </i>
    <i>
      <x/>
    </i>
    <i>
      <x v="10"/>
    </i>
    <i>
      <x v="13"/>
    </i>
    <i>
      <x v="11"/>
    </i>
    <i>
      <x v="8"/>
    </i>
    <i>
      <x v="14"/>
    </i>
    <i>
      <x v="6"/>
    </i>
    <i>
      <x v="2"/>
    </i>
    <i t="grand">
      <x/>
    </i>
  </rowItems>
  <colFields count="1">
    <field x="-2"/>
  </colFields>
  <colItems count="7">
    <i>
      <x/>
    </i>
    <i i="1">
      <x v="1"/>
    </i>
    <i i="2">
      <x v="2"/>
    </i>
    <i i="3">
      <x v="3"/>
    </i>
    <i i="4">
      <x v="4"/>
    </i>
    <i i="5">
      <x v="5"/>
    </i>
    <i i="6">
      <x v="6"/>
    </i>
  </colItems>
  <dataFields count="7">
    <dataField name="Sum of Total Records" fld="6" baseField="0" baseItem="0"/>
    <dataField name="Sum of Total Match" fld="8" baseField="0" baseItem="0"/>
    <dataField fld="0" subtotal="count" baseField="0" baseItem="0"/>
    <dataField fld="1" subtotal="count" baseField="0" baseItem="0"/>
    <dataField fld="4" subtotal="count" baseField="0" baseItem="0"/>
    <dataField fld="2" subtotal="count" baseField="0" baseItem="0"/>
    <dataField fld="3" subtotal="count" baseField="0" baseItem="0"/>
  </dataFields>
  <formats count="14">
    <format dxfId="69">
      <pivotArea outline="0" collapsedLevelsAreSubtotals="1" fieldPosition="0"/>
    </format>
    <format dxfId="68">
      <pivotArea dataOnly="0" labelOnly="1" outline="0" fieldPosition="0">
        <references count="1">
          <reference field="4294967294" count="5">
            <x v="2"/>
            <x v="3"/>
            <x v="4"/>
            <x v="5"/>
            <x v="6"/>
          </reference>
        </references>
      </pivotArea>
    </format>
    <format dxfId="67">
      <pivotArea outline="0" collapsedLevelsAreSubtotals="1" fieldPosition="0"/>
    </format>
    <format dxfId="66">
      <pivotArea dataOnly="0" labelOnly="1" outline="0" fieldPosition="0">
        <references count="1">
          <reference field="4294967294" count="5">
            <x v="2"/>
            <x v="3"/>
            <x v="4"/>
            <x v="5"/>
            <x v="6"/>
          </reference>
        </references>
      </pivotArea>
    </format>
    <format dxfId="65">
      <pivotArea field="7" type="button" dataOnly="0" labelOnly="1" outline="0" axis="axisRow" fieldPosition="0"/>
    </format>
    <format dxfId="64">
      <pivotArea dataOnly="0" labelOnly="1" grandRow="1" outline="0" fieldPosition="0"/>
    </format>
    <format dxfId="63">
      <pivotArea type="all" dataOnly="0" outline="0" fieldPosition="0"/>
    </format>
    <format dxfId="62">
      <pivotArea outline="0" collapsedLevelsAreSubtotals="1" fieldPosition="0"/>
    </format>
    <format dxfId="61">
      <pivotArea field="7" type="button" dataOnly="0" labelOnly="1" outline="0" axis="axisRow" fieldPosition="0"/>
    </format>
    <format dxfId="60">
      <pivotArea dataOnly="0" labelOnly="1" fieldPosition="0">
        <references count="1">
          <reference field="7" count="0"/>
        </references>
      </pivotArea>
    </format>
    <format dxfId="59">
      <pivotArea dataOnly="0" labelOnly="1" grandRow="1" outline="0" fieldPosition="0"/>
    </format>
    <format dxfId="58">
      <pivotArea dataOnly="0" labelOnly="1" outline="0" fieldPosition="0">
        <references count="1">
          <reference field="4294967294" count="7">
            <x v="0"/>
            <x v="1"/>
            <x v="2"/>
            <x v="3"/>
            <x v="4"/>
            <x v="5"/>
            <x v="6"/>
          </reference>
        </references>
      </pivotArea>
    </format>
    <format dxfId="57">
      <pivotArea dataOnly="0" labelOnly="1" fieldPosition="0">
        <references count="1">
          <reference field="7" count="1">
            <x v="0"/>
          </reference>
        </references>
      </pivotArea>
    </format>
    <format dxfId="56">
      <pivotArea dataOnly="0" labelOnly="1" fieldPosition="0">
        <references count="1">
          <reference field="7" count="1">
            <x v="13"/>
          </reference>
        </references>
      </pivotArea>
    </format>
  </formats>
  <chartFormats count="5">
    <chartFormat chart="0" format="6" series="1">
      <pivotArea type="data" outline="0" fieldPosition="0">
        <references count="1">
          <reference field="4294967294" count="1" selected="0">
            <x v="2"/>
          </reference>
        </references>
      </pivotArea>
    </chartFormat>
    <chartFormat chart="0" format="7" series="1">
      <pivotArea type="data" outline="0" fieldPosition="0">
        <references count="1">
          <reference field="4294967294" count="1" selected="0">
            <x v="3"/>
          </reference>
        </references>
      </pivotArea>
    </chartFormat>
    <chartFormat chart="0" format="8" series="1">
      <pivotArea type="data" outline="0" fieldPosition="0">
        <references count="1">
          <reference field="4294967294" count="1" selected="0">
            <x v="4"/>
          </reference>
        </references>
      </pivotArea>
    </chartFormat>
    <chartFormat chart="0" format="9" series="1">
      <pivotArea type="data" outline="0" fieldPosition="0">
        <references count="1">
          <reference field="4294967294" count="1" selected="0">
            <x v="5"/>
          </reference>
        </references>
      </pivotArea>
    </chartFormat>
    <chartFormat chart="0" format="10" series="1">
      <pivotArea type="data" outline="0" fieldPosition="0">
        <references count="1">
          <reference field="4294967294" count="1" selected="0">
            <x v="6"/>
          </reference>
        </references>
      </pivotArea>
    </chartFormat>
  </chartFormats>
  <pivotHierarchies count="27">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Quick Match "/>
    <pivotHierarchy dragToData="1" caption="Manual Match "/>
    <pivotHierarchy dragToData="1" caption="Create New "/>
    <pivotHierarchy dragToData="1" caption="Not Mapped "/>
    <pivotHierarchy dragToData="1" caption="Total Records "/>
    <pivotHierarchy dragToData="1" caption="Total Match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_20260707_Analysis.xlsx!Raw_Data">
        <x15:activeTabTopLevelEntity name="[Raw_Data]"/>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882262-D29C-47CD-A761-8EC9A559C882}" name="PivotTable1" cacheId="1" applyNumberFormats="0" applyBorderFormats="0" applyFontFormats="0" applyPatternFormats="0" applyAlignmentFormats="0" applyWidthHeightFormats="1" dataCaption="Values" tag="c388315d-d311-498a-8b8a-113c4c2e8cf3" updatedVersion="8" minRefreshableVersion="3" useAutoFormatting="1" subtotalHiddenItems="1" itemPrintTitles="1" createdVersion="8" indent="0" outline="1" outlineData="1" multipleFieldFilters="0" chartFormat="16" rowHeaderCaption="Worksheets">
  <location ref="B3:H7" firstHeaderRow="0" firstDataRow="1" firstDataCol="1"/>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sortType="descending" defaultAttributeDrillState="1">
      <items count="8">
        <item x="2"/>
        <item x="1"/>
        <item x="0"/>
        <item x="6"/>
        <item x="5"/>
        <item x="4"/>
        <item x="3"/>
        <item t="default"/>
      </items>
    </pivotField>
    <pivotField dataField="1" subtotalTop="0" showAll="0"/>
    <pivotField axis="axisRow" allDrilled="1" subtotalTop="0" showAll="0" dataSourceSort="1" defaultAttributeDrillState="1">
      <items count="4">
        <item x="0"/>
        <item x="1"/>
        <item x="2"/>
        <item t="default"/>
      </items>
    </pivotField>
  </pivotFields>
  <rowFields count="1">
    <field x="7"/>
  </rowFields>
  <rowItems count="4">
    <i>
      <x/>
    </i>
    <i>
      <x v="1"/>
    </i>
    <i>
      <x v="2"/>
    </i>
    <i t="grand">
      <x/>
    </i>
  </rowItems>
  <colFields count="1">
    <field x="-2"/>
  </colFields>
  <colItems count="6">
    <i>
      <x/>
    </i>
    <i i="1">
      <x v="1"/>
    </i>
    <i i="2">
      <x v="2"/>
    </i>
    <i i="3">
      <x v="3"/>
    </i>
    <i i="4">
      <x v="4"/>
    </i>
    <i i="5">
      <x v="5"/>
    </i>
  </colItems>
  <dataFields count="6">
    <dataField name="Sum of Total Records" fld="6" baseField="0" baseItem="0"/>
    <dataField fld="0" subtotal="count" baseField="0" baseItem="0"/>
    <dataField fld="1" subtotal="count" baseField="0" baseItem="0"/>
    <dataField fld="4" subtotal="count" baseField="0" baseItem="0"/>
    <dataField fld="2" subtotal="count" baseField="0" baseItem="0"/>
    <dataField fld="3" subtotal="count" baseField="0" baseItem="0"/>
  </dataFields>
  <formats count="13">
    <format dxfId="44">
      <pivotArea outline="0" collapsedLevelsAreSubtotals="1" fieldPosition="0"/>
    </format>
    <format dxfId="43">
      <pivotArea dataOnly="0" labelOnly="1" outline="0" fieldPosition="0">
        <references count="1">
          <reference field="4294967294" count="5">
            <x v="1"/>
            <x v="2"/>
            <x v="3"/>
            <x v="4"/>
            <x v="5"/>
          </reference>
        </references>
      </pivotArea>
    </format>
    <format dxfId="42">
      <pivotArea outline="0" collapsedLevelsAreSubtotals="1" fieldPosition="0"/>
    </format>
    <format dxfId="41">
      <pivotArea dataOnly="0" labelOnly="1" outline="0" fieldPosition="0">
        <references count="1">
          <reference field="4294967294" count="5">
            <x v="1"/>
            <x v="2"/>
            <x v="3"/>
            <x v="4"/>
            <x v="5"/>
          </reference>
        </references>
      </pivotArea>
    </format>
    <format dxfId="40">
      <pivotArea field="7" type="button" dataOnly="0" labelOnly="1" outline="0" axis="axisRow" fieldPosition="0"/>
    </format>
    <format dxfId="39">
      <pivotArea dataOnly="0" labelOnly="1" fieldPosition="0">
        <references count="1">
          <reference field="7" count="0"/>
        </references>
      </pivotArea>
    </format>
    <format dxfId="38">
      <pivotArea dataOnly="0" labelOnly="1" grandRow="1" outline="0" fieldPosition="0"/>
    </format>
    <format dxfId="37">
      <pivotArea type="all" dataOnly="0" outline="0" fieldPosition="0"/>
    </format>
    <format dxfId="36">
      <pivotArea outline="0" collapsedLevelsAreSubtotals="1" fieldPosition="0"/>
    </format>
    <format dxfId="35">
      <pivotArea field="7" type="button" dataOnly="0" labelOnly="1" outline="0" axis="axisRow" fieldPosition="0"/>
    </format>
    <format dxfId="34">
      <pivotArea dataOnly="0" labelOnly="1" fieldPosition="0">
        <references count="1">
          <reference field="7" count="0"/>
        </references>
      </pivotArea>
    </format>
    <format dxfId="33">
      <pivotArea dataOnly="0" labelOnly="1" grandRow="1" outline="0" fieldPosition="0"/>
    </format>
    <format dxfId="32">
      <pivotArea dataOnly="0" labelOnly="1" outline="0" fieldPosition="0">
        <references count="1">
          <reference field="4294967294" count="6">
            <x v="0"/>
            <x v="1"/>
            <x v="2"/>
            <x v="3"/>
            <x v="4"/>
            <x v="5"/>
          </reference>
        </references>
      </pivotArea>
    </format>
  </formats>
  <chartFormats count="6">
    <chartFormat chart="0" format="6"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2"/>
          </reference>
        </references>
      </pivotArea>
    </chartFormat>
    <chartFormat chart="0" format="8" series="1">
      <pivotArea type="data" outline="0" fieldPosition="0">
        <references count="1">
          <reference field="4294967294" count="1" selected="0">
            <x v="3"/>
          </reference>
        </references>
      </pivotArea>
    </chartFormat>
    <chartFormat chart="0" format="9" series="1">
      <pivotArea type="data" outline="0" fieldPosition="0">
        <references count="1">
          <reference field="4294967294" count="1" selected="0">
            <x v="4"/>
          </reference>
        </references>
      </pivotArea>
    </chartFormat>
    <chartFormat chart="0" format="10" series="1">
      <pivotArea type="data" outline="0" fieldPosition="0">
        <references count="1">
          <reference field="4294967294" count="1" selected="0">
            <x v="5"/>
          </reference>
        </references>
      </pivotArea>
    </chartFormat>
    <chartFormat chart="0" format="11" series="1">
      <pivotArea type="data" outline="0" fieldPosition="0">
        <references count="1">
          <reference field="4294967294" count="1" selected="0">
            <x v="0"/>
          </reference>
        </references>
      </pivotArea>
    </chartFormat>
  </chartFormats>
  <pivotHierarchies count="27">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Quick Match "/>
    <pivotHierarchy dragToData="1" caption="Manual Match "/>
    <pivotHierarchy dragToData="1" caption="Create New "/>
    <pivotHierarchy dragToData="1" caption="Not Mapped "/>
    <pivotHierarchy dragToData="1" caption="Total Records "/>
    <pivotHierarchy dragToData="1" caption="Total Match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_20260707_Analysis.xlsx!Raw_Data">
        <x15:activeTabTopLevelEntity name="[Raw_Data]"/>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A2A53E-8934-439E-B525-141F4FFC7554}" name="PivotTable1" cacheId="0" applyNumberFormats="0" applyBorderFormats="0" applyFontFormats="0" applyPatternFormats="0" applyAlignmentFormats="0" applyWidthHeightFormats="1" dataCaption="Values" tag="db560944-94d2-482c-be6d-2b18d9240ab3" updatedVersion="8" minRefreshableVersion="3" useAutoFormatting="1" subtotalHiddenItems="1" itemPrintTitles="1" createdVersion="8" indent="0" outline="1" outlineData="1" multipleFieldFilters="0" chartFormat="61" rowHeaderCaption="Score Range">
  <location ref="B3:I11" firstHeaderRow="0" firstDataRow="1" firstDataCol="1"/>
  <pivotFields count="8">
    <pivotField axis="axisRow" allDrilled="1" subtotalTop="0" showAll="0" sortType="descending" defaultAttributeDrillState="1">
      <items count="8">
        <item x="6"/>
        <item x="5"/>
        <item x="4"/>
        <item x="3"/>
        <item x="2"/>
        <item x="1"/>
        <item x="0"/>
        <item t="default"/>
      </items>
    </pivotField>
    <pivotField dataField="1" subtotalTop="0" showAll="0"/>
    <pivotField dataField="1" subtotalTop="0" showAll="0"/>
    <pivotField dataField="1" subtotalTop="0" showAll="0"/>
    <pivotField dataField="1" subtotalTop="0" showAll="0"/>
    <pivotField dataField="1" subtotalTop="0" showAll="0"/>
    <pivotField dataField="1" subtotalTop="0" showAll="0"/>
    <pivotField dataField="1" subtotalTop="0" showAll="0"/>
  </pivotFields>
  <rowFields count="1">
    <field x="0"/>
  </rowFields>
  <rowItems count="8">
    <i>
      <x/>
    </i>
    <i>
      <x v="1"/>
    </i>
    <i>
      <x v="2"/>
    </i>
    <i>
      <x v="3"/>
    </i>
    <i>
      <x v="4"/>
    </i>
    <i>
      <x v="5"/>
    </i>
    <i>
      <x v="6"/>
    </i>
    <i t="grand">
      <x/>
    </i>
  </rowItems>
  <colFields count="1">
    <field x="-2"/>
  </colFields>
  <colItems count="7">
    <i>
      <x/>
    </i>
    <i i="1">
      <x v="1"/>
    </i>
    <i i="2">
      <x v="2"/>
    </i>
    <i i="3">
      <x v="3"/>
    </i>
    <i i="4">
      <x v="4"/>
    </i>
    <i i="5">
      <x v="5"/>
    </i>
    <i i="6">
      <x v="6"/>
    </i>
  </colItems>
  <dataFields count="7">
    <dataField name="Sum of Total Records" fld="1" baseField="0" baseItem="0"/>
    <dataField name="Sum of Manual Match" fld="7" baseField="0" baseItem="0"/>
    <dataField fld="5" subtotal="count" baseField="0" baseItem="0"/>
    <dataField fld="6" subtotal="count" baseField="0" baseItem="0"/>
    <dataField fld="2" subtotal="count" baseField="0" baseItem="0"/>
    <dataField fld="3" subtotal="count" baseField="0" baseItem="0"/>
    <dataField fld="4" subtotal="count" baseField="0" baseItem="0"/>
  </dataFields>
  <formats count="20">
    <format dxfId="31">
      <pivotArea outline="0" collapsedLevelsAreSubtotals="1" fieldPosition="0"/>
    </format>
    <format dxfId="30">
      <pivotArea outline="0" collapsedLevelsAreSubtotals="1" fieldPosition="0"/>
    </format>
    <format dxfId="29">
      <pivotArea type="all" dataOnly="0" outline="0" fieldPosition="0"/>
    </format>
    <format dxfId="28">
      <pivotArea field="0" type="button" dataOnly="0" labelOnly="1" outline="0" axis="axisRow" fieldPosition="0"/>
    </format>
    <format dxfId="27">
      <pivotArea dataOnly="0" labelOnly="1" grandRow="1" outline="0" fieldPosition="0"/>
    </format>
    <format dxfId="26">
      <pivotArea field="0" type="button" dataOnly="0" labelOnly="1" outline="0" axis="axisRow" fieldPosition="0"/>
    </format>
    <format dxfId="25">
      <pivotArea dataOnly="0" labelOnly="1" grandRow="1" outline="0" fieldPosition="0"/>
    </format>
    <format dxfId="24">
      <pivotArea dataOnly="0" labelOnly="1" fieldPosition="0">
        <references count="1">
          <reference field="0" count="0"/>
        </references>
      </pivotArea>
    </format>
    <format dxfId="23">
      <pivotArea field="0" grandRow="1" outline="0" collapsedLevelsAreSubtotals="1" axis="axisRow" fieldPosition="0">
        <references count="1">
          <reference field="4294967294" count="3" selected="0">
            <x v="4"/>
            <x v="5"/>
            <x v="6"/>
          </reference>
        </references>
      </pivotArea>
    </format>
    <format dxfId="22">
      <pivotArea field="0" grandRow="1" outline="0" collapsedLevelsAreSubtotals="1" axis="axisRow" fieldPosition="0">
        <references count="1">
          <reference field="4294967294" count="3" selected="0">
            <x v="4"/>
            <x v="5"/>
            <x v="6"/>
          </reference>
        </references>
      </pivotArea>
    </format>
    <format dxfId="21">
      <pivotArea type="all" dataOnly="0" outline="0" fieldPosition="0"/>
    </format>
    <format dxfId="20">
      <pivotArea field="0" grandRow="1" outline="0" collapsedLevelsAreSubtotals="1" axis="axisRow" fieldPosition="0">
        <references count="1">
          <reference field="4294967294" count="3" selected="0">
            <x v="4"/>
            <x v="5"/>
            <x v="6"/>
          </reference>
        </references>
      </pivotArea>
    </format>
    <format dxfId="19">
      <pivotArea field="0" grandRow="1" outline="0" collapsedLevelsAreSubtotals="1" axis="axisRow" fieldPosition="0">
        <references count="1">
          <reference field="4294967294" count="1" selected="0">
            <x v="6"/>
          </reference>
        </references>
      </pivotArea>
    </format>
    <format dxfId="18">
      <pivotArea collapsedLevelsAreSubtotals="1" fieldPosition="0">
        <references count="2">
          <reference field="4294967294" count="1" selected="0">
            <x v="4"/>
          </reference>
          <reference field="0" count="3">
            <x v="0"/>
            <x v="1"/>
            <x v="2"/>
          </reference>
        </references>
      </pivotArea>
    </format>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fieldPosition="0">
        <references count="1">
          <reference field="4294967294" count="7">
            <x v="0"/>
            <x v="1"/>
            <x v="2"/>
            <x v="3"/>
            <x v="4"/>
            <x v="5"/>
            <x v="6"/>
          </reference>
        </references>
      </pivotArea>
    </format>
  </formats>
  <chartFormats count="12">
    <chartFormat chart="53" format="1" series="1">
      <pivotArea type="data" outline="0" fieldPosition="0">
        <references count="1">
          <reference field="4294967294" count="1" selected="0">
            <x v="0"/>
          </reference>
        </references>
      </pivotArea>
    </chartFormat>
    <chartFormat chart="10" format="36" series="1">
      <pivotArea type="data" outline="0" fieldPosition="0">
        <references count="1">
          <reference field="4294967294" count="1" selected="0">
            <x v="0"/>
          </reference>
        </references>
      </pivotArea>
    </chartFormat>
    <chartFormat chart="53" format="3" series="1">
      <pivotArea type="data" outline="0" fieldPosition="0">
        <references count="1">
          <reference field="4294967294" count="1" selected="0">
            <x v="4"/>
          </reference>
        </references>
      </pivotArea>
    </chartFormat>
    <chartFormat chart="10" format="38" series="1">
      <pivotArea type="data" outline="0" fieldPosition="0">
        <references count="1">
          <reference field="4294967294" count="1" selected="0">
            <x v="4"/>
          </reference>
        </references>
      </pivotArea>
    </chartFormat>
    <chartFormat chart="53" format="4" series="1">
      <pivotArea type="data" outline="0" fieldPosition="0">
        <references count="1">
          <reference field="4294967294" count="1" selected="0">
            <x v="5"/>
          </reference>
        </references>
      </pivotArea>
    </chartFormat>
    <chartFormat chart="10" format="39" series="1">
      <pivotArea type="data" outline="0" fieldPosition="0">
        <references count="1">
          <reference field="4294967294" count="1" selected="0">
            <x v="5"/>
          </reference>
        </references>
      </pivotArea>
    </chartFormat>
    <chartFormat chart="53" format="5" series="1">
      <pivotArea type="data" outline="0" fieldPosition="0">
        <references count="1">
          <reference field="4294967294" count="1" selected="0">
            <x v="6"/>
          </reference>
        </references>
      </pivotArea>
    </chartFormat>
    <chartFormat chart="10" format="40" series="1">
      <pivotArea type="data" outline="0" fieldPosition="0">
        <references count="1">
          <reference field="4294967294" count="1" selected="0">
            <x v="6"/>
          </reference>
        </references>
      </pivotArea>
    </chartFormat>
    <chartFormat chart="53" format="6" series="1">
      <pivotArea type="data" outline="0" fieldPosition="0">
        <references count="1">
          <reference field="4294967294" count="1" selected="0">
            <x v="2"/>
          </reference>
        </references>
      </pivotArea>
    </chartFormat>
    <chartFormat chart="10" format="41" series="1">
      <pivotArea type="data" outline="0" fieldPosition="0">
        <references count="1">
          <reference field="4294967294" count="1" selected="0">
            <x v="2"/>
          </reference>
        </references>
      </pivotArea>
    </chartFormat>
    <chartFormat chart="53" format="7" series="1">
      <pivotArea type="data" outline="0" fieldPosition="0">
        <references count="1">
          <reference field="4294967294" count="1" selected="0">
            <x v="3"/>
          </reference>
        </references>
      </pivotArea>
    </chartFormat>
    <chartFormat chart="10" format="42" series="1">
      <pivotArea type="data" outline="0" fieldPosition="0">
        <references count="1">
          <reference field="4294967294" count="1" selected="0">
            <x v="3"/>
          </reference>
        </references>
      </pivotArea>
    </chartFormat>
  </chartFormats>
  <pivotHierarchies count="27">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Quick Match "/>
    <pivotHierarchy dragToData="1" caption="Manual Match "/>
    <pivotHierarchy dragToData="1" caption="Create New "/>
    <pivotHierarchy dragToData="1" caption="Not Mapped "/>
    <pivotHierarchy dragToData="1" caption="Total Records "/>
    <pivotHierarchy dragToData="1" caption="Total Match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_20260707_Analysis.xlsx!Raw_Data">
        <x15:activeTabTopLevelEntity name="[Raw_Data]"/>
      </x15:pivotTableUISettings>
    </ext>
    <ext xmlns:xpdl="http://schemas.microsoft.com/office/spreadsheetml/2016/pivotdefaultlayout" uri="{747A6164-185A-40DC-8AA5-F01512510D54}">
      <xpdl:pivotTableDefinition16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BD25E5-1E5F-477B-A836-D7A68FCA04CC}" name="Raw_Data" displayName="Raw_Data" ref="A1:J337" totalsRowShown="0" headerRowDxfId="11" dataDxfId="10">
  <autoFilter ref="A1:J337" xr:uid="{E1BD25E5-1E5F-477B-A836-D7A68FCA04CC}"/>
  <tableColumns count="10">
    <tableColumn id="1" xr3:uid="{BB35155B-F74B-48D7-B646-729522E7B7DB}" name="Folder" dataDxfId="9"/>
    <tableColumn id="2" xr3:uid="{AF22138E-91B3-4CAE-9079-6B69675C49B7}" name="Workbook" dataDxfId="8"/>
    <tableColumn id="3" xr3:uid="{7BFCAA08-1FDB-4FE7-8987-081EF50DDD24}" name="Worksheet" dataDxfId="7"/>
    <tableColumn id="4" xr3:uid="{FDC1D35E-6EE1-4561-BB05-B3DB06E99096}" name="Score Range" dataDxfId="6"/>
    <tableColumn id="5" xr3:uid="{0A226F58-2A14-4378-A544-9777D0CB23FF}" name="Quick Match" dataDxfId="5"/>
    <tableColumn id="6" xr3:uid="{932159AE-757F-4353-8BEE-2B584EACE3E5}" name="Manual Match" dataDxfId="4"/>
    <tableColumn id="7" xr3:uid="{871EB929-FF5E-4488-921A-700413DF95B2}" name="Create New" dataDxfId="3"/>
    <tableColumn id="8" xr3:uid="{FEC84B93-5C82-4C8C-BFA0-EB2EE76B9B49}" name="Not Mapped" dataDxfId="2"/>
    <tableColumn id="9" xr3:uid="{4553E0E1-7F49-4163-A920-41B512678FB0}" name="Total Records" dataDxfId="1"/>
    <tableColumn id="15" xr3:uid="{2CC429A3-62F5-48C1-8A79-531BD74B0C2B}" name="Total Match" dataDxfId="0">
      <calculatedColumnFormula>Raw_Data[[#This Row],[Quick Match]]+Raw_Data[[#This Row],[Manual Match]]</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0B0E7-E167-4C83-9358-668FC03C78A4}">
  <sheetPr>
    <pageSetUpPr fitToPage="1"/>
  </sheetPr>
  <dimension ref="B1:AD596"/>
  <sheetViews>
    <sheetView showGridLines="0" tabSelected="1" zoomScale="60" zoomScaleNormal="60" workbookViewId="0">
      <selection activeCell="L3" sqref="L3"/>
    </sheetView>
  </sheetViews>
  <sheetFormatPr defaultRowHeight="15.75" x14ac:dyDescent="0.25"/>
  <cols>
    <col min="1" max="1" width="4.85546875" customWidth="1"/>
    <col min="2" max="2" width="54.42578125" style="30" bestFit="1" customWidth="1"/>
    <col min="3" max="3" width="23.28515625" style="28" bestFit="1" customWidth="1"/>
    <col min="4" max="4" width="28" style="34" bestFit="1" customWidth="1"/>
    <col min="5" max="5" width="30.85546875" style="34" bestFit="1" customWidth="1"/>
    <col min="6" max="6" width="20.85546875" style="34" bestFit="1" customWidth="1"/>
    <col min="7" max="7" width="33.7109375" style="34" bestFit="1" customWidth="1"/>
    <col min="8" max="8" width="36.85546875" style="34" bestFit="1" customWidth="1"/>
    <col min="9" max="9" width="37" style="1" bestFit="1" customWidth="1"/>
    <col min="10" max="10" width="7.85546875" style="1" customWidth="1"/>
    <col min="11" max="11" width="6.28515625" customWidth="1"/>
    <col min="12" max="12" width="35.28515625" style="44" customWidth="1"/>
    <col min="13" max="13" width="7.85546875" style="44" bestFit="1" customWidth="1"/>
    <col min="14" max="14" width="12.85546875" style="65" bestFit="1" customWidth="1"/>
    <col min="15" max="15" width="14.42578125" style="65" bestFit="1" customWidth="1"/>
    <col min="16" max="16" width="22.28515625" style="46" bestFit="1" customWidth="1"/>
    <col min="17" max="17" width="10.5703125" style="46" customWidth="1"/>
    <col min="18" max="18" width="9.140625" style="46" customWidth="1"/>
    <col min="19" max="19" width="9" style="46" customWidth="1"/>
    <col min="20" max="20" width="13.42578125" style="46" bestFit="1" customWidth="1"/>
    <col min="21" max="21" width="4.5703125" style="46" customWidth="1"/>
    <col min="22" max="22" width="35.28515625" style="46" bestFit="1" customWidth="1"/>
    <col min="23" max="23" width="9.140625" style="44"/>
    <col min="24" max="24" width="32.28515625" style="44" bestFit="1" customWidth="1"/>
    <col min="25" max="25" width="7.85546875" style="44" bestFit="1" customWidth="1"/>
    <col min="26" max="26" width="20.140625" style="48" bestFit="1" customWidth="1"/>
    <col min="27" max="27" width="14.42578125" style="48" bestFit="1" customWidth="1"/>
    <col min="28" max="28" width="22.42578125" style="44" bestFit="1" customWidth="1"/>
    <col min="29" max="29" width="9.28515625" bestFit="1" customWidth="1"/>
    <col min="30" max="30" width="11.42578125" bestFit="1" customWidth="1"/>
  </cols>
  <sheetData>
    <row r="1" spans="2:30" ht="21" x14ac:dyDescent="0.25">
      <c r="B1" s="76" t="s">
        <v>48</v>
      </c>
      <c r="C1" s="76"/>
      <c r="D1" s="76"/>
      <c r="E1" s="76"/>
      <c r="F1" s="76"/>
      <c r="G1" s="76"/>
      <c r="H1" s="76"/>
      <c r="I1" s="10"/>
      <c r="J1" s="10"/>
      <c r="L1" s="77" t="s">
        <v>99</v>
      </c>
      <c r="M1" s="77"/>
      <c r="N1" s="77"/>
      <c r="O1" s="77"/>
      <c r="P1" s="77"/>
      <c r="Q1" s="77"/>
      <c r="R1" s="77"/>
      <c r="S1" s="77"/>
      <c r="T1" s="77"/>
      <c r="U1" s="77"/>
      <c r="V1" s="77"/>
      <c r="W1" s="77"/>
      <c r="X1" s="77"/>
      <c r="Y1" s="77"/>
      <c r="Z1" s="77"/>
      <c r="AA1" s="57"/>
      <c r="AB1" s="57"/>
    </row>
    <row r="2" spans="2:30" ht="18.75" x14ac:dyDescent="0.25">
      <c r="B2" s="76"/>
      <c r="C2" s="76"/>
      <c r="D2" s="76"/>
      <c r="E2" s="76"/>
      <c r="F2" s="76"/>
      <c r="G2" s="76"/>
      <c r="H2" s="76"/>
      <c r="I2" s="10"/>
      <c r="J2" s="10"/>
      <c r="L2" s="61" t="s">
        <v>102</v>
      </c>
      <c r="M2" s="61" t="s">
        <v>95</v>
      </c>
      <c r="N2" s="63" t="s">
        <v>96</v>
      </c>
      <c r="O2" s="63" t="s">
        <v>97</v>
      </c>
      <c r="P2" s="61" t="s">
        <v>98</v>
      </c>
      <c r="Q2" s="11"/>
      <c r="R2" s="11"/>
      <c r="S2" s="11"/>
      <c r="T2" s="11"/>
      <c r="U2" s="11"/>
      <c r="V2" s="61" t="s">
        <v>102</v>
      </c>
      <c r="W2" s="61" t="s">
        <v>95</v>
      </c>
      <c r="X2" s="62" t="s">
        <v>96</v>
      </c>
      <c r="Y2" s="62" t="s">
        <v>97</v>
      </c>
      <c r="Z2" s="61" t="s">
        <v>98</v>
      </c>
      <c r="AA2"/>
      <c r="AB2"/>
    </row>
    <row r="3" spans="2:30" ht="18.75" x14ac:dyDescent="0.25">
      <c r="B3" s="36" t="s">
        <v>1</v>
      </c>
      <c r="C3" s="36" t="s">
        <v>3</v>
      </c>
      <c r="D3" s="30" t="s">
        <v>46</v>
      </c>
      <c r="E3" s="30" t="s">
        <v>43</v>
      </c>
      <c r="F3" s="37" t="s">
        <v>45</v>
      </c>
      <c r="G3" s="30" t="s">
        <v>54</v>
      </c>
      <c r="H3" s="30" t="s">
        <v>94</v>
      </c>
      <c r="I3" s="30" t="s">
        <v>93</v>
      </c>
      <c r="J3"/>
      <c r="L3" s="55" t="str" cm="1">
        <f t="array" ref="L3:P5">_xlfn._xlws.FILTER(_xlfn.CHOOSECOLS(B4:I403,1,2,3,4,5),(E4:E403&gt;=20)*(F4:F403=1)*(C4:C403&lt;&gt;""),"No matches")</f>
        <v>Benco Dental Company</v>
      </c>
      <c r="M3" s="53" t="str">
        <v>80-70</v>
      </c>
      <c r="N3" s="64">
        <v>23</v>
      </c>
      <c r="O3" s="64">
        <v>23</v>
      </c>
      <c r="P3" s="53">
        <v>1</v>
      </c>
      <c r="Q3" s="11"/>
      <c r="R3" s="11"/>
      <c r="S3" s="11"/>
      <c r="T3" s="11"/>
      <c r="U3" s="11"/>
      <c r="V3" s="55" t="str" cm="1">
        <f t="array" ref="V3:Z4">_xlfn._xlws.FILTER(_xlfn.CHOOSECOLS(B4:I403,1,2,3,4,5),(E4:E403&gt;=20)*(F4:F403&gt;=0.9)*(F4:F403&lt;1)*(C4:C403&lt;&gt;""),"No matches")</f>
        <v>Frontier Dental - USA</v>
      </c>
      <c r="W3" s="53" t="str">
        <v>80-70</v>
      </c>
      <c r="X3" s="54">
        <v>23</v>
      </c>
      <c r="Y3" s="54">
        <v>25</v>
      </c>
      <c r="Z3" s="53">
        <v>0.92</v>
      </c>
      <c r="AA3"/>
      <c r="AB3"/>
    </row>
    <row r="4" spans="2:30" ht="18.75" x14ac:dyDescent="0.25">
      <c r="B4" s="30" t="s">
        <v>30</v>
      </c>
      <c r="C4" s="30" t="s">
        <v>18</v>
      </c>
      <c r="D4" s="28">
        <v>5</v>
      </c>
      <c r="E4" s="28">
        <v>5</v>
      </c>
      <c r="F4" s="37">
        <v>1</v>
      </c>
      <c r="G4" s="43">
        <v>5</v>
      </c>
      <c r="H4" s="43">
        <v>5</v>
      </c>
      <c r="I4" s="31">
        <v>1</v>
      </c>
      <c r="J4"/>
      <c r="L4" s="53" t="str">
        <v>Henry Schein Dental</v>
      </c>
      <c r="M4" s="53" t="str">
        <v>80-70</v>
      </c>
      <c r="N4" s="64">
        <v>34</v>
      </c>
      <c r="O4" s="64">
        <v>34</v>
      </c>
      <c r="P4" s="53">
        <v>1</v>
      </c>
      <c r="Q4" s="11"/>
      <c r="R4" s="11"/>
      <c r="S4" s="11"/>
      <c r="T4" s="11"/>
      <c r="U4" s="11"/>
      <c r="V4" s="53" t="str">
        <v>Frontier Dental - USA</v>
      </c>
      <c r="W4" s="53" t="str">
        <v>69-60</v>
      </c>
      <c r="X4" s="54">
        <v>22</v>
      </c>
      <c r="Y4" s="54">
        <v>23</v>
      </c>
      <c r="Z4" s="53">
        <v>0.95652173913043481</v>
      </c>
      <c r="AA4"/>
      <c r="AB4"/>
    </row>
    <row r="5" spans="2:30" ht="18.75" x14ac:dyDescent="0.25">
      <c r="B5" s="30" t="s">
        <v>30</v>
      </c>
      <c r="C5" s="30" t="s">
        <v>19</v>
      </c>
      <c r="D5" s="28">
        <v>1</v>
      </c>
      <c r="E5" s="28">
        <v>1</v>
      </c>
      <c r="F5" s="37">
        <v>1</v>
      </c>
      <c r="G5" s="43">
        <v>6</v>
      </c>
      <c r="H5" s="43">
        <v>6</v>
      </c>
      <c r="I5" s="31">
        <v>1</v>
      </c>
      <c r="J5"/>
      <c r="L5" s="53" t="str">
        <v>Patterson Dental Supply - USA</v>
      </c>
      <c r="M5" s="53" t="str">
        <v>80-70</v>
      </c>
      <c r="N5" s="64">
        <v>23</v>
      </c>
      <c r="O5" s="64">
        <v>23</v>
      </c>
      <c r="P5" s="53">
        <v>1</v>
      </c>
      <c r="Q5" s="11"/>
      <c r="R5" s="11"/>
      <c r="S5" s="11"/>
      <c r="T5" s="11"/>
      <c r="U5" s="11"/>
      <c r="V5" s="53"/>
      <c r="W5" s="53"/>
      <c r="X5" s="54"/>
      <c r="Y5" s="54"/>
      <c r="Z5" s="53"/>
      <c r="AA5"/>
      <c r="AB5"/>
    </row>
    <row r="6" spans="2:30" ht="18.75" x14ac:dyDescent="0.25">
      <c r="B6" s="30" t="s">
        <v>30</v>
      </c>
      <c r="C6" s="30" t="s">
        <v>20</v>
      </c>
      <c r="D6" s="28">
        <v>0</v>
      </c>
      <c r="E6" s="28">
        <v>0</v>
      </c>
      <c r="F6" s="37"/>
      <c r="G6" s="43">
        <v>6</v>
      </c>
      <c r="H6" s="43">
        <v>6</v>
      </c>
      <c r="I6" s="31">
        <v>1</v>
      </c>
      <c r="J6"/>
      <c r="L6" s="53"/>
      <c r="M6" s="53"/>
      <c r="N6" s="64"/>
      <c r="O6" s="64"/>
      <c r="P6" s="53"/>
      <c r="Q6" s="11"/>
      <c r="R6" s="11"/>
      <c r="S6" s="11"/>
      <c r="T6" s="11"/>
      <c r="U6" s="11"/>
      <c r="V6" s="53"/>
      <c r="W6" s="53"/>
      <c r="X6" s="54"/>
      <c r="Y6" s="54"/>
      <c r="Z6" s="53"/>
      <c r="AA6"/>
      <c r="AB6"/>
    </row>
    <row r="7" spans="2:30" ht="18.75" x14ac:dyDescent="0.25">
      <c r="B7" s="30" t="s">
        <v>30</v>
      </c>
      <c r="C7" s="30" t="s">
        <v>21</v>
      </c>
      <c r="D7" s="28">
        <v>1</v>
      </c>
      <c r="E7" s="28">
        <v>4</v>
      </c>
      <c r="F7" s="37">
        <v>0.25</v>
      </c>
      <c r="G7" s="43">
        <v>7</v>
      </c>
      <c r="H7" s="43">
        <v>10</v>
      </c>
      <c r="I7" s="31">
        <v>0.7</v>
      </c>
      <c r="J7"/>
      <c r="L7" s="53"/>
      <c r="M7" s="53"/>
      <c r="N7" s="64"/>
      <c r="O7" s="64"/>
      <c r="P7" s="53"/>
      <c r="Q7" s="56"/>
      <c r="R7" s="56"/>
      <c r="S7" s="56"/>
      <c r="T7" s="56"/>
      <c r="U7" s="56"/>
      <c r="V7" s="53"/>
      <c r="W7" s="53"/>
      <c r="X7" s="54"/>
      <c r="Y7" s="54"/>
      <c r="Z7" s="53"/>
      <c r="AA7"/>
      <c r="AB7"/>
    </row>
    <row r="8" spans="2:30" ht="18.75" x14ac:dyDescent="0.25">
      <c r="B8" s="30" t="s">
        <v>30</v>
      </c>
      <c r="C8" s="30" t="s">
        <v>22</v>
      </c>
      <c r="D8" s="28">
        <v>2</v>
      </c>
      <c r="E8" s="28">
        <v>7</v>
      </c>
      <c r="F8" s="37">
        <v>0.2857142857142857</v>
      </c>
      <c r="G8" s="43">
        <v>9</v>
      </c>
      <c r="H8" s="43">
        <v>17</v>
      </c>
      <c r="I8" s="31">
        <v>0.52941176470588236</v>
      </c>
      <c r="J8"/>
      <c r="L8" s="53"/>
      <c r="M8" s="53"/>
      <c r="N8" s="64"/>
      <c r="O8" s="64"/>
      <c r="P8" s="53"/>
      <c r="Q8" s="11"/>
      <c r="R8" s="11"/>
      <c r="S8" s="11"/>
      <c r="T8" s="11"/>
      <c r="U8" s="11"/>
      <c r="V8" s="53"/>
      <c r="W8" s="53"/>
      <c r="X8" s="54"/>
      <c r="Y8" s="54"/>
      <c r="Z8" s="53"/>
      <c r="AA8"/>
      <c r="AB8"/>
    </row>
    <row r="9" spans="2:30" ht="18.75" x14ac:dyDescent="0.25">
      <c r="B9" s="30" t="s">
        <v>30</v>
      </c>
      <c r="C9" s="30" t="s">
        <v>23</v>
      </c>
      <c r="D9" s="28">
        <v>3</v>
      </c>
      <c r="E9" s="28">
        <v>3</v>
      </c>
      <c r="F9" s="37">
        <v>1</v>
      </c>
      <c r="G9" s="43">
        <v>12</v>
      </c>
      <c r="H9" s="43">
        <v>20</v>
      </c>
      <c r="I9" s="31">
        <v>0.6</v>
      </c>
      <c r="J9"/>
      <c r="L9" s="53"/>
      <c r="M9" s="53"/>
      <c r="N9" s="64"/>
      <c r="O9" s="64"/>
      <c r="P9" s="53"/>
      <c r="Q9" s="11"/>
      <c r="R9" s="11"/>
      <c r="S9" s="11"/>
      <c r="T9" s="11"/>
      <c r="U9" s="11"/>
      <c r="V9" s="53"/>
      <c r="W9" s="53"/>
      <c r="X9" s="54"/>
      <c r="Y9" s="54"/>
      <c r="Z9" s="53"/>
      <c r="AA9"/>
      <c r="AB9"/>
    </row>
    <row r="10" spans="2:30" ht="18.75" x14ac:dyDescent="0.25">
      <c r="B10" s="30" t="s">
        <v>30</v>
      </c>
      <c r="C10" s="30" t="s">
        <v>24</v>
      </c>
      <c r="D10" s="28">
        <v>1</v>
      </c>
      <c r="E10" s="28">
        <v>1</v>
      </c>
      <c r="F10" s="37">
        <v>1</v>
      </c>
      <c r="G10" s="43">
        <v>13</v>
      </c>
      <c r="H10" s="43">
        <v>21</v>
      </c>
      <c r="I10" s="31">
        <v>0.61904761904761907</v>
      </c>
      <c r="J10"/>
      <c r="L10" s="53"/>
      <c r="M10" s="53"/>
      <c r="N10" s="64"/>
      <c r="O10" s="64"/>
      <c r="P10" s="53"/>
      <c r="Q10" s="11"/>
      <c r="R10" s="11"/>
      <c r="S10" s="11"/>
      <c r="T10" s="11"/>
      <c r="U10" s="11"/>
      <c r="V10" s="53"/>
      <c r="W10" s="53"/>
      <c r="X10" s="54"/>
      <c r="Y10" s="54"/>
      <c r="Z10" s="53"/>
      <c r="AA10"/>
      <c r="AB10"/>
    </row>
    <row r="11" spans="2:30" ht="18.75" x14ac:dyDescent="0.25">
      <c r="B11" s="30" t="s">
        <v>77</v>
      </c>
      <c r="C11" s="30"/>
      <c r="D11" s="28">
        <v>13</v>
      </c>
      <c r="E11" s="28">
        <v>21</v>
      </c>
      <c r="F11" s="37">
        <v>0.61904761904761907</v>
      </c>
      <c r="G11" s="43">
        <v>13</v>
      </c>
      <c r="H11" s="43">
        <v>21</v>
      </c>
      <c r="I11" s="31">
        <v>0.61904761904761907</v>
      </c>
      <c r="J11"/>
      <c r="L11" s="53"/>
      <c r="M11" s="53"/>
      <c r="N11" s="64"/>
      <c r="O11" s="64"/>
      <c r="P11" s="53"/>
      <c r="Q11" s="11"/>
      <c r="R11" s="11"/>
      <c r="S11" s="11"/>
      <c r="T11" s="11"/>
      <c r="U11" s="11"/>
      <c r="V11" s="53"/>
      <c r="W11" s="53"/>
      <c r="X11" s="54"/>
      <c r="Y11" s="54"/>
      <c r="Z11" s="53"/>
      <c r="AA11"/>
      <c r="AB11"/>
    </row>
    <row r="12" spans="2:30" ht="26.25" x14ac:dyDescent="0.25">
      <c r="B12" s="30" t="s">
        <v>17</v>
      </c>
      <c r="C12" s="30" t="s">
        <v>18</v>
      </c>
      <c r="D12" s="28">
        <v>23</v>
      </c>
      <c r="E12" s="28">
        <v>23</v>
      </c>
      <c r="F12" s="37">
        <v>1</v>
      </c>
      <c r="G12" s="43">
        <v>23</v>
      </c>
      <c r="H12" s="43">
        <v>23</v>
      </c>
      <c r="I12" s="31">
        <v>1</v>
      </c>
      <c r="J12"/>
      <c r="L12" s="53"/>
      <c r="M12" s="53"/>
      <c r="N12" s="64"/>
      <c r="O12" s="64"/>
      <c r="P12" s="53"/>
      <c r="Q12" s="50" t="s">
        <v>101</v>
      </c>
      <c r="R12" s="51">
        <f>SUM(N3:N24)</f>
        <v>80</v>
      </c>
      <c r="S12" s="51">
        <f>SUM(O3:O24)</f>
        <v>80</v>
      </c>
      <c r="T12" s="52">
        <f>R12/S12</f>
        <v>1</v>
      </c>
      <c r="U12" s="31"/>
      <c r="V12" s="47"/>
      <c r="W12" s="45"/>
      <c r="X12" s="49"/>
      <c r="Y12" s="49"/>
      <c r="Z12" s="45"/>
      <c r="AA12" s="52" t="s">
        <v>100</v>
      </c>
      <c r="AB12" s="51">
        <f>SUM(X3:X25)</f>
        <v>45</v>
      </c>
      <c r="AC12" s="51">
        <f>SUM(Y3:Y25)</f>
        <v>48</v>
      </c>
      <c r="AD12" s="52">
        <f>AB12/AC12</f>
        <v>0.9375</v>
      </c>
    </row>
    <row r="13" spans="2:30" x14ac:dyDescent="0.25">
      <c r="B13" s="30" t="s">
        <v>17</v>
      </c>
      <c r="C13" s="30" t="s">
        <v>19</v>
      </c>
      <c r="D13" s="28">
        <v>17</v>
      </c>
      <c r="E13" s="28">
        <v>21</v>
      </c>
      <c r="F13" s="37">
        <v>0.80952380952380953</v>
      </c>
      <c r="G13" s="43">
        <v>40</v>
      </c>
      <c r="H13" s="43">
        <v>44</v>
      </c>
      <c r="I13" s="31">
        <v>0.90909090909090906</v>
      </c>
      <c r="J13"/>
    </row>
    <row r="14" spans="2:30" x14ac:dyDescent="0.25">
      <c r="B14" s="30" t="s">
        <v>17</v>
      </c>
      <c r="C14" s="30" t="s">
        <v>20</v>
      </c>
      <c r="D14" s="28">
        <v>13</v>
      </c>
      <c r="E14" s="28">
        <v>15</v>
      </c>
      <c r="F14" s="37">
        <v>0.8666666666666667</v>
      </c>
      <c r="G14" s="43">
        <v>53</v>
      </c>
      <c r="H14" s="43">
        <v>59</v>
      </c>
      <c r="I14" s="31">
        <v>0.89830508474576276</v>
      </c>
      <c r="J14"/>
    </row>
    <row r="15" spans="2:30" x14ac:dyDescent="0.25">
      <c r="B15" s="30" t="s">
        <v>17</v>
      </c>
      <c r="C15" s="30" t="s">
        <v>21</v>
      </c>
      <c r="D15" s="28">
        <v>14</v>
      </c>
      <c r="E15" s="28">
        <v>22</v>
      </c>
      <c r="F15" s="37">
        <v>0.63636363636363635</v>
      </c>
      <c r="G15" s="43">
        <v>67</v>
      </c>
      <c r="H15" s="43">
        <v>81</v>
      </c>
      <c r="I15" s="31">
        <v>0.8271604938271605</v>
      </c>
      <c r="J15"/>
    </row>
    <row r="16" spans="2:30" x14ac:dyDescent="0.25">
      <c r="B16" s="30" t="s">
        <v>17</v>
      </c>
      <c r="C16" s="30" t="s">
        <v>22</v>
      </c>
      <c r="D16" s="28">
        <v>19</v>
      </c>
      <c r="E16" s="28">
        <v>33</v>
      </c>
      <c r="F16" s="37">
        <v>0.5757575757575758</v>
      </c>
      <c r="G16" s="43">
        <v>86</v>
      </c>
      <c r="H16" s="43">
        <v>114</v>
      </c>
      <c r="I16" s="31">
        <v>0.75438596491228072</v>
      </c>
      <c r="J16"/>
    </row>
    <row r="17" spans="2:24" x14ac:dyDescent="0.25">
      <c r="B17" s="30" t="s">
        <v>17</v>
      </c>
      <c r="C17" s="30" t="s">
        <v>23</v>
      </c>
      <c r="D17" s="28">
        <v>6</v>
      </c>
      <c r="E17" s="28">
        <v>9</v>
      </c>
      <c r="F17" s="37">
        <v>0.66666666666666663</v>
      </c>
      <c r="G17" s="43">
        <v>92</v>
      </c>
      <c r="H17" s="43">
        <v>123</v>
      </c>
      <c r="I17" s="31">
        <v>0.74796747967479671</v>
      </c>
      <c r="J17"/>
    </row>
    <row r="18" spans="2:24" x14ac:dyDescent="0.25">
      <c r="B18" s="30" t="s">
        <v>17</v>
      </c>
      <c r="C18" s="30" t="s">
        <v>24</v>
      </c>
      <c r="D18" s="28">
        <v>0</v>
      </c>
      <c r="E18" s="28">
        <v>0</v>
      </c>
      <c r="F18" s="37"/>
      <c r="G18" s="43">
        <v>92</v>
      </c>
      <c r="H18" s="43">
        <v>123</v>
      </c>
      <c r="I18" s="31">
        <v>0.74796747967479671</v>
      </c>
      <c r="J18"/>
    </row>
    <row r="19" spans="2:24" x14ac:dyDescent="0.25">
      <c r="B19" s="30" t="s">
        <v>78</v>
      </c>
      <c r="C19" s="30"/>
      <c r="D19" s="28">
        <v>92</v>
      </c>
      <c r="E19" s="28">
        <v>123</v>
      </c>
      <c r="F19" s="37">
        <v>0.74796747967479671</v>
      </c>
      <c r="G19" s="43">
        <v>92</v>
      </c>
      <c r="H19" s="43">
        <v>123</v>
      </c>
      <c r="I19" s="31">
        <v>0.74796747967479671</v>
      </c>
      <c r="J19"/>
    </row>
    <row r="20" spans="2:24" x14ac:dyDescent="0.25">
      <c r="B20" s="30" t="s">
        <v>31</v>
      </c>
      <c r="C20" s="30" t="s">
        <v>18</v>
      </c>
      <c r="D20" s="28">
        <v>0</v>
      </c>
      <c r="E20" s="28">
        <v>0</v>
      </c>
      <c r="F20" s="37"/>
      <c r="G20" s="43">
        <v>0</v>
      </c>
      <c r="H20" s="43">
        <v>0</v>
      </c>
      <c r="I20" s="31"/>
      <c r="J20"/>
    </row>
    <row r="21" spans="2:24" x14ac:dyDescent="0.25">
      <c r="B21" s="30" t="s">
        <v>31</v>
      </c>
      <c r="C21" s="30" t="s">
        <v>19</v>
      </c>
      <c r="D21" s="28">
        <v>0</v>
      </c>
      <c r="E21" s="28">
        <v>0</v>
      </c>
      <c r="F21" s="37"/>
      <c r="G21" s="43">
        <v>0</v>
      </c>
      <c r="H21" s="43">
        <v>0</v>
      </c>
      <c r="I21" s="31"/>
      <c r="J21"/>
    </row>
    <row r="22" spans="2:24" x14ac:dyDescent="0.25">
      <c r="B22" s="30" t="s">
        <v>31</v>
      </c>
      <c r="C22" s="30" t="s">
        <v>20</v>
      </c>
      <c r="D22" s="28">
        <v>0</v>
      </c>
      <c r="E22" s="28">
        <v>0</v>
      </c>
      <c r="F22" s="37"/>
      <c r="G22" s="43">
        <v>0</v>
      </c>
      <c r="H22" s="43">
        <v>0</v>
      </c>
      <c r="I22" s="31"/>
      <c r="J22"/>
    </row>
    <row r="23" spans="2:24" x14ac:dyDescent="0.25">
      <c r="B23" s="30" t="s">
        <v>31</v>
      </c>
      <c r="C23" s="30" t="s">
        <v>21</v>
      </c>
      <c r="D23" s="28">
        <v>0</v>
      </c>
      <c r="E23" s="28">
        <v>0</v>
      </c>
      <c r="F23" s="37"/>
      <c r="G23" s="43">
        <v>0</v>
      </c>
      <c r="H23" s="43">
        <v>0</v>
      </c>
      <c r="I23" s="31"/>
      <c r="J23"/>
    </row>
    <row r="24" spans="2:24" x14ac:dyDescent="0.25">
      <c r="B24" s="30" t="s">
        <v>31</v>
      </c>
      <c r="C24" s="30" t="s">
        <v>22</v>
      </c>
      <c r="D24" s="28">
        <v>0</v>
      </c>
      <c r="E24" s="28">
        <v>0</v>
      </c>
      <c r="F24" s="37"/>
      <c r="G24" s="43">
        <v>0</v>
      </c>
      <c r="H24" s="43">
        <v>0</v>
      </c>
      <c r="I24" s="31"/>
      <c r="J24"/>
    </row>
    <row r="25" spans="2:24" x14ac:dyDescent="0.25">
      <c r="B25" s="30" t="s">
        <v>31</v>
      </c>
      <c r="C25" s="30" t="s">
        <v>23</v>
      </c>
      <c r="D25" s="28">
        <v>0</v>
      </c>
      <c r="E25" s="28">
        <v>0</v>
      </c>
      <c r="F25" s="37"/>
      <c r="G25" s="43">
        <v>0</v>
      </c>
      <c r="H25" s="43">
        <v>0</v>
      </c>
      <c r="I25" s="31"/>
    </row>
    <row r="26" spans="2:24" ht="21.75" x14ac:dyDescent="0.35">
      <c r="B26" s="30" t="s">
        <v>31</v>
      </c>
      <c r="C26" s="30" t="s">
        <v>24</v>
      </c>
      <c r="D26" s="28">
        <v>0</v>
      </c>
      <c r="E26" s="28">
        <v>0</v>
      </c>
      <c r="F26" s="37"/>
      <c r="G26" s="43">
        <v>0</v>
      </c>
      <c r="H26" s="43">
        <v>0</v>
      </c>
      <c r="I26" s="31"/>
      <c r="L26" s="57" t="s">
        <v>103</v>
      </c>
      <c r="M26" s="58"/>
      <c r="N26" s="66"/>
      <c r="O26" s="66"/>
      <c r="P26" s="59"/>
      <c r="Q26" s="59"/>
      <c r="R26" s="59"/>
      <c r="S26" s="59"/>
      <c r="T26" s="59"/>
      <c r="U26" s="59"/>
      <c r="V26" s="59"/>
      <c r="W26" s="58"/>
      <c r="X26" s="58"/>
    </row>
    <row r="27" spans="2:24" ht="21.75" x14ac:dyDescent="0.35">
      <c r="B27" s="30" t="s">
        <v>79</v>
      </c>
      <c r="C27" s="30"/>
      <c r="D27" s="28">
        <v>0</v>
      </c>
      <c r="E27" s="28">
        <v>0</v>
      </c>
      <c r="F27" s="37"/>
      <c r="G27" s="43">
        <v>0</v>
      </c>
      <c r="H27" s="43">
        <v>0</v>
      </c>
      <c r="I27" s="31"/>
      <c r="K27" s="38"/>
      <c r="L27" s="60" t="s">
        <v>106</v>
      </c>
      <c r="M27" s="58"/>
      <c r="N27" s="66"/>
      <c r="O27" s="66"/>
      <c r="P27" s="59"/>
      <c r="Q27" s="59"/>
      <c r="R27" s="59"/>
      <c r="S27" s="59"/>
      <c r="T27" s="59"/>
      <c r="U27" s="59"/>
      <c r="V27" s="59"/>
      <c r="W27" s="58"/>
      <c r="X27" s="58"/>
    </row>
    <row r="28" spans="2:24" ht="21.75" x14ac:dyDescent="0.35">
      <c r="B28" s="30" t="s">
        <v>38</v>
      </c>
      <c r="C28" s="30" t="s">
        <v>18</v>
      </c>
      <c r="D28" s="28">
        <v>4</v>
      </c>
      <c r="E28" s="28">
        <v>4</v>
      </c>
      <c r="F28" s="37">
        <v>1</v>
      </c>
      <c r="G28" s="43">
        <v>4</v>
      </c>
      <c r="H28" s="43">
        <v>4</v>
      </c>
      <c r="I28" s="31">
        <v>1</v>
      </c>
      <c r="K28" s="38"/>
      <c r="L28" s="58"/>
      <c r="M28" s="58"/>
      <c r="N28" s="66"/>
      <c r="O28" s="66"/>
      <c r="P28" s="59"/>
      <c r="Q28" s="59"/>
      <c r="R28" s="59"/>
      <c r="S28" s="59"/>
      <c r="T28" s="59"/>
      <c r="U28" s="59"/>
      <c r="V28" s="59"/>
      <c r="W28" s="58"/>
      <c r="X28" s="58"/>
    </row>
    <row r="29" spans="2:24" ht="21.75" x14ac:dyDescent="0.35">
      <c r="B29" s="30" t="s">
        <v>38</v>
      </c>
      <c r="C29" s="30" t="s">
        <v>19</v>
      </c>
      <c r="D29" s="28">
        <v>5</v>
      </c>
      <c r="E29" s="28">
        <v>5</v>
      </c>
      <c r="F29" s="37">
        <v>1</v>
      </c>
      <c r="G29" s="43">
        <v>9</v>
      </c>
      <c r="H29" s="43">
        <v>9</v>
      </c>
      <c r="I29" s="31">
        <v>1</v>
      </c>
      <c r="K29" s="38"/>
      <c r="L29" s="60" t="s">
        <v>104</v>
      </c>
      <c r="M29" s="58"/>
      <c r="N29" s="66"/>
      <c r="O29" s="66"/>
      <c r="P29" s="59"/>
      <c r="Q29" s="59"/>
      <c r="R29" s="59"/>
      <c r="S29" s="59"/>
      <c r="T29" s="59"/>
      <c r="U29" s="59"/>
      <c r="V29" s="59"/>
      <c r="W29" s="58"/>
      <c r="X29" s="58"/>
    </row>
    <row r="30" spans="2:24" ht="21.75" x14ac:dyDescent="0.35">
      <c r="B30" s="30" t="s">
        <v>38</v>
      </c>
      <c r="C30" s="30" t="s">
        <v>20</v>
      </c>
      <c r="D30" s="28">
        <v>5</v>
      </c>
      <c r="E30" s="28">
        <v>5</v>
      </c>
      <c r="F30" s="37">
        <v>1</v>
      </c>
      <c r="G30" s="43">
        <v>14</v>
      </c>
      <c r="H30" s="43">
        <v>14</v>
      </c>
      <c r="I30" s="31">
        <v>1</v>
      </c>
      <c r="K30" s="38"/>
      <c r="L30" s="58"/>
      <c r="M30" s="58"/>
      <c r="N30" s="66"/>
      <c r="O30" s="66"/>
      <c r="P30" s="59"/>
      <c r="Q30" s="59"/>
      <c r="R30" s="59"/>
      <c r="S30" s="59"/>
      <c r="T30" s="59"/>
      <c r="U30" s="59"/>
      <c r="V30" s="59"/>
      <c r="W30" s="58"/>
      <c r="X30" s="58"/>
    </row>
    <row r="31" spans="2:24" ht="21.75" x14ac:dyDescent="0.35">
      <c r="B31" s="30" t="s">
        <v>38</v>
      </c>
      <c r="C31" s="30" t="s">
        <v>21</v>
      </c>
      <c r="D31" s="28">
        <v>3</v>
      </c>
      <c r="E31" s="28">
        <v>5</v>
      </c>
      <c r="F31" s="37">
        <v>0.6</v>
      </c>
      <c r="G31" s="43">
        <v>17</v>
      </c>
      <c r="H31" s="43">
        <v>19</v>
      </c>
      <c r="I31" s="31">
        <v>0.89473684210526316</v>
      </c>
      <c r="K31" s="38"/>
      <c r="L31" s="60" t="s">
        <v>107</v>
      </c>
      <c r="M31" s="58"/>
      <c r="N31" s="66"/>
      <c r="O31" s="66"/>
      <c r="P31" s="59"/>
      <c r="Q31" s="59"/>
      <c r="R31" s="59"/>
      <c r="S31" s="59"/>
      <c r="T31" s="59"/>
      <c r="U31" s="59"/>
      <c r="V31" s="59"/>
      <c r="W31" s="58"/>
      <c r="X31" s="58"/>
    </row>
    <row r="32" spans="2:24" ht="21.75" x14ac:dyDescent="0.35">
      <c r="B32" s="30" t="s">
        <v>38</v>
      </c>
      <c r="C32" s="30" t="s">
        <v>22</v>
      </c>
      <c r="D32" s="28">
        <v>5</v>
      </c>
      <c r="E32" s="28">
        <v>9</v>
      </c>
      <c r="F32" s="37">
        <v>0.55555555555555558</v>
      </c>
      <c r="G32" s="43">
        <v>22</v>
      </c>
      <c r="H32" s="43">
        <v>28</v>
      </c>
      <c r="I32" s="31">
        <v>0.7857142857142857</v>
      </c>
      <c r="K32" s="38"/>
      <c r="L32" s="58"/>
      <c r="M32" s="58"/>
      <c r="N32" s="66"/>
      <c r="O32" s="66"/>
      <c r="P32" s="59"/>
      <c r="Q32" s="59"/>
      <c r="R32" s="59"/>
      <c r="S32" s="59"/>
      <c r="T32" s="59"/>
      <c r="U32" s="59"/>
      <c r="V32" s="59"/>
      <c r="W32" s="58"/>
      <c r="X32" s="58"/>
    </row>
    <row r="33" spans="2:24" ht="21.75" x14ac:dyDescent="0.35">
      <c r="B33" s="30" t="s">
        <v>38</v>
      </c>
      <c r="C33" s="30" t="s">
        <v>23</v>
      </c>
      <c r="D33" s="28">
        <v>8</v>
      </c>
      <c r="E33" s="28">
        <v>9</v>
      </c>
      <c r="F33" s="37">
        <v>0.88888888888888884</v>
      </c>
      <c r="G33" s="43">
        <v>30</v>
      </c>
      <c r="H33" s="43">
        <v>37</v>
      </c>
      <c r="I33" s="31">
        <v>0.81081081081081086</v>
      </c>
      <c r="J33"/>
      <c r="K33" s="38"/>
      <c r="L33" s="60" t="s">
        <v>108</v>
      </c>
      <c r="M33" s="58"/>
      <c r="N33" s="66"/>
      <c r="O33" s="66"/>
      <c r="P33" s="59"/>
      <c r="Q33" s="59"/>
      <c r="R33" s="59"/>
      <c r="S33" s="59"/>
      <c r="T33" s="59"/>
      <c r="U33" s="59"/>
      <c r="V33" s="59"/>
      <c r="W33" s="58"/>
      <c r="X33" s="58"/>
    </row>
    <row r="34" spans="2:24" x14ac:dyDescent="0.25">
      <c r="B34" s="30" t="s">
        <v>38</v>
      </c>
      <c r="C34" s="30" t="s">
        <v>24</v>
      </c>
      <c r="D34" s="28">
        <v>2</v>
      </c>
      <c r="E34" s="28">
        <v>3</v>
      </c>
      <c r="F34" s="37">
        <v>0.66666666666666663</v>
      </c>
      <c r="G34" s="43">
        <v>32</v>
      </c>
      <c r="H34" s="43">
        <v>40</v>
      </c>
      <c r="I34" s="31">
        <v>0.8</v>
      </c>
      <c r="J34"/>
      <c r="K34" s="38"/>
    </row>
    <row r="35" spans="2:24" ht="21" x14ac:dyDescent="0.25">
      <c r="B35" s="30" t="s">
        <v>80</v>
      </c>
      <c r="C35" s="30"/>
      <c r="D35" s="28">
        <v>32</v>
      </c>
      <c r="E35" s="28">
        <v>40</v>
      </c>
      <c r="F35" s="37">
        <v>0.8</v>
      </c>
      <c r="G35" s="43">
        <v>32</v>
      </c>
      <c r="H35" s="43">
        <v>40</v>
      </c>
      <c r="I35" s="31">
        <v>0.8</v>
      </c>
      <c r="J35"/>
      <c r="L35" s="60" t="s">
        <v>105</v>
      </c>
    </row>
    <row r="36" spans="2:24" x14ac:dyDescent="0.25">
      <c r="B36" s="30" t="s">
        <v>26</v>
      </c>
      <c r="C36" s="30" t="s">
        <v>18</v>
      </c>
      <c r="D36" s="28">
        <v>10</v>
      </c>
      <c r="E36" s="28">
        <v>10</v>
      </c>
      <c r="F36" s="37">
        <v>1</v>
      </c>
      <c r="G36" s="43">
        <v>10</v>
      </c>
      <c r="H36" s="43">
        <v>10</v>
      </c>
      <c r="I36" s="31">
        <v>1</v>
      </c>
      <c r="J36"/>
    </row>
    <row r="37" spans="2:24" x14ac:dyDescent="0.25">
      <c r="B37" s="30" t="s">
        <v>26</v>
      </c>
      <c r="C37" s="30" t="s">
        <v>19</v>
      </c>
      <c r="D37" s="28">
        <v>6</v>
      </c>
      <c r="E37" s="28">
        <v>7</v>
      </c>
      <c r="F37" s="37">
        <v>0.8571428571428571</v>
      </c>
      <c r="G37" s="43">
        <v>16</v>
      </c>
      <c r="H37" s="43">
        <v>17</v>
      </c>
      <c r="I37" s="31">
        <v>0.94117647058823528</v>
      </c>
      <c r="J37"/>
    </row>
    <row r="38" spans="2:24" x14ac:dyDescent="0.25">
      <c r="B38" s="30" t="s">
        <v>26</v>
      </c>
      <c r="C38" s="30" t="s">
        <v>20</v>
      </c>
      <c r="D38" s="28">
        <v>7</v>
      </c>
      <c r="E38" s="28">
        <v>8</v>
      </c>
      <c r="F38" s="37">
        <v>0.875</v>
      </c>
      <c r="G38" s="43">
        <v>23</v>
      </c>
      <c r="H38" s="43">
        <v>25</v>
      </c>
      <c r="I38" s="31">
        <v>0.92</v>
      </c>
      <c r="J38"/>
    </row>
    <row r="39" spans="2:24" x14ac:dyDescent="0.25">
      <c r="B39" s="30" t="s">
        <v>26</v>
      </c>
      <c r="C39" s="30" t="s">
        <v>21</v>
      </c>
      <c r="D39" s="28">
        <v>8</v>
      </c>
      <c r="E39" s="28">
        <v>14</v>
      </c>
      <c r="F39" s="37">
        <v>0.5714285714285714</v>
      </c>
      <c r="G39" s="43">
        <v>31</v>
      </c>
      <c r="H39" s="43">
        <v>39</v>
      </c>
      <c r="I39" s="31">
        <v>0.79487179487179482</v>
      </c>
      <c r="J39"/>
    </row>
    <row r="40" spans="2:24" x14ac:dyDescent="0.25">
      <c r="B40" s="30" t="s">
        <v>26</v>
      </c>
      <c r="C40" s="30" t="s">
        <v>22</v>
      </c>
      <c r="D40" s="28">
        <v>16</v>
      </c>
      <c r="E40" s="28">
        <v>21</v>
      </c>
      <c r="F40" s="37">
        <v>0.76190476190476186</v>
      </c>
      <c r="G40" s="43">
        <v>47</v>
      </c>
      <c r="H40" s="43">
        <v>60</v>
      </c>
      <c r="I40" s="31">
        <v>0.78333333333333333</v>
      </c>
      <c r="J40"/>
    </row>
    <row r="41" spans="2:24" x14ac:dyDescent="0.25">
      <c r="B41" s="30" t="s">
        <v>26</v>
      </c>
      <c r="C41" s="30" t="s">
        <v>23</v>
      </c>
      <c r="D41" s="28">
        <v>2</v>
      </c>
      <c r="E41" s="28">
        <v>5</v>
      </c>
      <c r="F41" s="37">
        <v>0.4</v>
      </c>
      <c r="G41" s="43">
        <v>49</v>
      </c>
      <c r="H41" s="43">
        <v>65</v>
      </c>
      <c r="I41" s="31">
        <v>0.75384615384615383</v>
      </c>
      <c r="J41"/>
    </row>
    <row r="42" spans="2:24" x14ac:dyDescent="0.25">
      <c r="B42" s="30" t="s">
        <v>26</v>
      </c>
      <c r="C42" s="30" t="s">
        <v>24</v>
      </c>
      <c r="D42" s="28">
        <v>1</v>
      </c>
      <c r="E42" s="28">
        <v>1</v>
      </c>
      <c r="F42" s="37">
        <v>1</v>
      </c>
      <c r="G42" s="43">
        <v>50</v>
      </c>
      <c r="H42" s="43">
        <v>66</v>
      </c>
      <c r="I42" s="31">
        <v>0.75757575757575757</v>
      </c>
      <c r="J42"/>
    </row>
    <row r="43" spans="2:24" x14ac:dyDescent="0.25">
      <c r="B43" s="30" t="s">
        <v>81</v>
      </c>
      <c r="C43" s="30"/>
      <c r="D43" s="28">
        <v>50</v>
      </c>
      <c r="E43" s="28">
        <v>66</v>
      </c>
      <c r="F43" s="37">
        <v>0.75757575757575757</v>
      </c>
      <c r="G43" s="43">
        <v>50</v>
      </c>
      <c r="H43" s="43">
        <v>66</v>
      </c>
      <c r="I43" s="31">
        <v>0.75757575757575757</v>
      </c>
      <c r="J43"/>
    </row>
    <row r="44" spans="2:24" x14ac:dyDescent="0.25">
      <c r="B44" s="30" t="s">
        <v>39</v>
      </c>
      <c r="C44" s="30" t="s">
        <v>18</v>
      </c>
      <c r="D44" s="28">
        <v>5</v>
      </c>
      <c r="E44" s="28">
        <v>6</v>
      </c>
      <c r="F44" s="37">
        <v>0.83333333333333337</v>
      </c>
      <c r="G44" s="43">
        <v>5</v>
      </c>
      <c r="H44" s="43">
        <v>6</v>
      </c>
      <c r="I44" s="31">
        <v>0.83333333333333337</v>
      </c>
      <c r="J44"/>
    </row>
    <row r="45" spans="2:24" x14ac:dyDescent="0.25">
      <c r="B45" s="30" t="s">
        <v>39</v>
      </c>
      <c r="C45" s="30" t="s">
        <v>19</v>
      </c>
      <c r="D45" s="28">
        <v>6</v>
      </c>
      <c r="E45" s="28">
        <v>6</v>
      </c>
      <c r="F45" s="37">
        <v>1</v>
      </c>
      <c r="G45" s="43">
        <v>11</v>
      </c>
      <c r="H45" s="43">
        <v>12</v>
      </c>
      <c r="I45" s="31">
        <v>0.91666666666666663</v>
      </c>
      <c r="J45"/>
    </row>
    <row r="46" spans="2:24" x14ac:dyDescent="0.25">
      <c r="B46" s="30" t="s">
        <v>39</v>
      </c>
      <c r="C46" s="30" t="s">
        <v>20</v>
      </c>
      <c r="D46" s="28">
        <v>3</v>
      </c>
      <c r="E46" s="28">
        <v>3</v>
      </c>
      <c r="F46" s="37">
        <v>1</v>
      </c>
      <c r="G46" s="43">
        <v>14</v>
      </c>
      <c r="H46" s="43">
        <v>15</v>
      </c>
      <c r="I46" s="31">
        <v>0.93333333333333335</v>
      </c>
      <c r="J46"/>
    </row>
    <row r="47" spans="2:24" x14ac:dyDescent="0.25">
      <c r="B47" s="30" t="s">
        <v>39</v>
      </c>
      <c r="C47" s="30" t="s">
        <v>21</v>
      </c>
      <c r="D47" s="28">
        <v>2</v>
      </c>
      <c r="E47" s="28">
        <v>2</v>
      </c>
      <c r="F47" s="37">
        <v>1</v>
      </c>
      <c r="G47" s="43">
        <v>16</v>
      </c>
      <c r="H47" s="43">
        <v>17</v>
      </c>
      <c r="I47" s="31">
        <v>0.94117647058823528</v>
      </c>
      <c r="J47"/>
    </row>
    <row r="48" spans="2:24" x14ac:dyDescent="0.25">
      <c r="B48" s="30" t="s">
        <v>39</v>
      </c>
      <c r="C48" s="30" t="s">
        <v>22</v>
      </c>
      <c r="D48" s="28">
        <v>4</v>
      </c>
      <c r="E48" s="28">
        <v>7</v>
      </c>
      <c r="F48" s="37">
        <v>0.5714285714285714</v>
      </c>
      <c r="G48" s="43">
        <v>20</v>
      </c>
      <c r="H48" s="43">
        <v>24</v>
      </c>
      <c r="I48" s="31">
        <v>0.83333333333333337</v>
      </c>
      <c r="J48"/>
    </row>
    <row r="49" spans="2:10" x14ac:dyDescent="0.25">
      <c r="B49" s="30" t="s">
        <v>39</v>
      </c>
      <c r="C49" s="30" t="s">
        <v>23</v>
      </c>
      <c r="D49" s="28">
        <v>5</v>
      </c>
      <c r="E49" s="28">
        <v>6</v>
      </c>
      <c r="F49" s="37">
        <v>0.83333333333333337</v>
      </c>
      <c r="G49" s="43">
        <v>25</v>
      </c>
      <c r="H49" s="43">
        <v>30</v>
      </c>
      <c r="I49" s="31">
        <v>0.83333333333333337</v>
      </c>
      <c r="J49"/>
    </row>
    <row r="50" spans="2:10" x14ac:dyDescent="0.25">
      <c r="B50" s="30" t="s">
        <v>39</v>
      </c>
      <c r="C50" s="30" t="s">
        <v>24</v>
      </c>
      <c r="D50" s="28">
        <v>0</v>
      </c>
      <c r="E50" s="28">
        <v>0</v>
      </c>
      <c r="F50" s="37"/>
      <c r="G50" s="43">
        <v>25</v>
      </c>
      <c r="H50" s="43">
        <v>30</v>
      </c>
      <c r="I50" s="31">
        <v>0.83333333333333337</v>
      </c>
      <c r="J50"/>
    </row>
    <row r="51" spans="2:10" x14ac:dyDescent="0.25">
      <c r="B51" s="30" t="s">
        <v>82</v>
      </c>
      <c r="C51" s="30"/>
      <c r="D51" s="28">
        <v>25</v>
      </c>
      <c r="E51" s="28">
        <v>30</v>
      </c>
      <c r="F51" s="37">
        <v>0.83333333333333337</v>
      </c>
      <c r="G51" s="43">
        <v>25</v>
      </c>
      <c r="H51" s="43">
        <v>30</v>
      </c>
      <c r="I51" s="31">
        <v>0.83333333333333337</v>
      </c>
      <c r="J51"/>
    </row>
    <row r="52" spans="2:10" x14ac:dyDescent="0.25">
      <c r="B52" s="30" t="s">
        <v>40</v>
      </c>
      <c r="C52" s="30" t="s">
        <v>18</v>
      </c>
      <c r="D52" s="28">
        <v>0</v>
      </c>
      <c r="E52" s="28">
        <v>0</v>
      </c>
      <c r="F52" s="37"/>
      <c r="G52" s="43">
        <v>0</v>
      </c>
      <c r="H52" s="43">
        <v>0</v>
      </c>
      <c r="I52" s="31"/>
      <c r="J52"/>
    </row>
    <row r="53" spans="2:10" x14ac:dyDescent="0.25">
      <c r="B53" s="30" t="s">
        <v>40</v>
      </c>
      <c r="C53" s="30" t="s">
        <v>19</v>
      </c>
      <c r="D53" s="28">
        <v>0</v>
      </c>
      <c r="E53" s="28">
        <v>0</v>
      </c>
      <c r="F53" s="37"/>
      <c r="G53" s="43">
        <v>0</v>
      </c>
      <c r="H53" s="43">
        <v>0</v>
      </c>
      <c r="I53" s="31"/>
      <c r="J53"/>
    </row>
    <row r="54" spans="2:10" x14ac:dyDescent="0.25">
      <c r="B54" s="30" t="s">
        <v>40</v>
      </c>
      <c r="C54" s="30" t="s">
        <v>20</v>
      </c>
      <c r="D54" s="28">
        <v>0</v>
      </c>
      <c r="E54" s="28">
        <v>0</v>
      </c>
      <c r="F54" s="37"/>
      <c r="G54" s="43">
        <v>0</v>
      </c>
      <c r="H54" s="43">
        <v>0</v>
      </c>
      <c r="I54" s="31"/>
      <c r="J54"/>
    </row>
    <row r="55" spans="2:10" x14ac:dyDescent="0.25">
      <c r="B55" s="30" t="s">
        <v>40</v>
      </c>
      <c r="C55" s="30" t="s">
        <v>21</v>
      </c>
      <c r="D55" s="28">
        <v>0</v>
      </c>
      <c r="E55" s="28">
        <v>0</v>
      </c>
      <c r="F55" s="37"/>
      <c r="G55" s="43">
        <v>0</v>
      </c>
      <c r="H55" s="43">
        <v>0</v>
      </c>
      <c r="I55" s="31"/>
      <c r="J55"/>
    </row>
    <row r="56" spans="2:10" x14ac:dyDescent="0.25">
      <c r="B56" s="30" t="s">
        <v>40</v>
      </c>
      <c r="C56" s="30" t="s">
        <v>22</v>
      </c>
      <c r="D56" s="28">
        <v>0</v>
      </c>
      <c r="E56" s="28">
        <v>0</v>
      </c>
      <c r="F56" s="37"/>
      <c r="G56" s="43">
        <v>0</v>
      </c>
      <c r="H56" s="43">
        <v>0</v>
      </c>
      <c r="I56" s="31"/>
      <c r="J56"/>
    </row>
    <row r="57" spans="2:10" x14ac:dyDescent="0.25">
      <c r="B57" s="30" t="s">
        <v>40</v>
      </c>
      <c r="C57" s="30" t="s">
        <v>23</v>
      </c>
      <c r="D57" s="28">
        <v>0</v>
      </c>
      <c r="E57" s="28">
        <v>0</v>
      </c>
      <c r="F57" s="37"/>
      <c r="G57" s="43">
        <v>0</v>
      </c>
      <c r="H57" s="43">
        <v>0</v>
      </c>
      <c r="I57" s="31"/>
      <c r="J57"/>
    </row>
    <row r="58" spans="2:10" x14ac:dyDescent="0.25">
      <c r="B58" s="30" t="s">
        <v>40</v>
      </c>
      <c r="C58" s="30" t="s">
        <v>24</v>
      </c>
      <c r="D58" s="28">
        <v>0</v>
      </c>
      <c r="E58" s="28">
        <v>0</v>
      </c>
      <c r="F58" s="37"/>
      <c r="G58" s="43">
        <v>0</v>
      </c>
      <c r="H58" s="43">
        <v>0</v>
      </c>
      <c r="I58" s="31"/>
      <c r="J58"/>
    </row>
    <row r="59" spans="2:10" x14ac:dyDescent="0.25">
      <c r="B59" s="30" t="s">
        <v>83</v>
      </c>
      <c r="C59" s="30"/>
      <c r="D59" s="28">
        <v>0</v>
      </c>
      <c r="E59" s="28">
        <v>0</v>
      </c>
      <c r="F59" s="37"/>
      <c r="G59" s="43">
        <v>0</v>
      </c>
      <c r="H59" s="43">
        <v>0</v>
      </c>
      <c r="I59" s="31"/>
      <c r="J59"/>
    </row>
    <row r="60" spans="2:10" x14ac:dyDescent="0.25">
      <c r="B60" s="30" t="s">
        <v>32</v>
      </c>
      <c r="C60" s="30" t="s">
        <v>18</v>
      </c>
      <c r="D60" s="28">
        <v>23</v>
      </c>
      <c r="E60" s="28">
        <v>25</v>
      </c>
      <c r="F60" s="37">
        <v>0.92</v>
      </c>
      <c r="G60" s="43">
        <v>23</v>
      </c>
      <c r="H60" s="43">
        <v>25</v>
      </c>
      <c r="I60" s="31">
        <v>0.92</v>
      </c>
      <c r="J60"/>
    </row>
    <row r="61" spans="2:10" x14ac:dyDescent="0.25">
      <c r="B61" s="30" t="s">
        <v>32</v>
      </c>
      <c r="C61" s="30" t="s">
        <v>19</v>
      </c>
      <c r="D61" s="28">
        <v>22</v>
      </c>
      <c r="E61" s="28">
        <v>23</v>
      </c>
      <c r="F61" s="37">
        <v>0.95652173913043481</v>
      </c>
      <c r="G61" s="43">
        <v>45</v>
      </c>
      <c r="H61" s="43">
        <v>48</v>
      </c>
      <c r="I61" s="31">
        <v>0.9375</v>
      </c>
      <c r="J61"/>
    </row>
    <row r="62" spans="2:10" x14ac:dyDescent="0.25">
      <c r="B62" s="30" t="s">
        <v>32</v>
      </c>
      <c r="C62" s="30" t="s">
        <v>20</v>
      </c>
      <c r="D62" s="28">
        <v>20</v>
      </c>
      <c r="E62" s="28">
        <v>23</v>
      </c>
      <c r="F62" s="37">
        <v>0.86956521739130432</v>
      </c>
      <c r="G62" s="43">
        <v>65</v>
      </c>
      <c r="H62" s="43">
        <v>71</v>
      </c>
      <c r="I62" s="31">
        <v>0.91549295774647887</v>
      </c>
      <c r="J62"/>
    </row>
    <row r="63" spans="2:10" x14ac:dyDescent="0.25">
      <c r="B63" s="30" t="s">
        <v>32</v>
      </c>
      <c r="C63" s="30" t="s">
        <v>21</v>
      </c>
      <c r="D63" s="28">
        <v>22</v>
      </c>
      <c r="E63" s="28">
        <v>34</v>
      </c>
      <c r="F63" s="37">
        <v>0.6470588235294118</v>
      </c>
      <c r="G63" s="43">
        <v>87</v>
      </c>
      <c r="H63" s="43">
        <v>105</v>
      </c>
      <c r="I63" s="31">
        <v>0.82857142857142863</v>
      </c>
      <c r="J63"/>
    </row>
    <row r="64" spans="2:10" x14ac:dyDescent="0.25">
      <c r="B64" s="30" t="s">
        <v>32</v>
      </c>
      <c r="C64" s="30" t="s">
        <v>22</v>
      </c>
      <c r="D64" s="28">
        <v>47</v>
      </c>
      <c r="E64" s="28">
        <v>72</v>
      </c>
      <c r="F64" s="37">
        <v>0.65277777777777779</v>
      </c>
      <c r="G64" s="43">
        <v>134</v>
      </c>
      <c r="H64" s="43">
        <v>177</v>
      </c>
      <c r="I64" s="31">
        <v>0.75706214689265539</v>
      </c>
      <c r="J64"/>
    </row>
    <row r="65" spans="2:10" x14ac:dyDescent="0.25">
      <c r="B65" s="30" t="s">
        <v>32</v>
      </c>
      <c r="C65" s="30" t="s">
        <v>23</v>
      </c>
      <c r="D65" s="28">
        <v>27</v>
      </c>
      <c r="E65" s="28">
        <v>38</v>
      </c>
      <c r="F65" s="37">
        <v>0.71052631578947367</v>
      </c>
      <c r="G65" s="43">
        <v>161</v>
      </c>
      <c r="H65" s="43">
        <v>215</v>
      </c>
      <c r="I65" s="31">
        <v>0.74883720930232556</v>
      </c>
      <c r="J65"/>
    </row>
    <row r="66" spans="2:10" x14ac:dyDescent="0.25">
      <c r="B66" s="30" t="s">
        <v>32</v>
      </c>
      <c r="C66" s="30" t="s">
        <v>24</v>
      </c>
      <c r="D66" s="28">
        <v>4</v>
      </c>
      <c r="E66" s="28">
        <v>5</v>
      </c>
      <c r="F66" s="37">
        <v>0.8</v>
      </c>
      <c r="G66" s="43">
        <v>165</v>
      </c>
      <c r="H66" s="43">
        <v>220</v>
      </c>
      <c r="I66" s="31">
        <v>0.75</v>
      </c>
      <c r="J66"/>
    </row>
    <row r="67" spans="2:10" x14ac:dyDescent="0.25">
      <c r="B67" s="30" t="s">
        <v>84</v>
      </c>
      <c r="C67" s="30"/>
      <c r="D67" s="28">
        <v>165</v>
      </c>
      <c r="E67" s="28">
        <v>220</v>
      </c>
      <c r="F67" s="37">
        <v>0.75</v>
      </c>
      <c r="G67" s="43">
        <v>165</v>
      </c>
      <c r="H67" s="43">
        <v>220</v>
      </c>
      <c r="I67" s="31">
        <v>0.75</v>
      </c>
      <c r="J67"/>
    </row>
    <row r="68" spans="2:10" x14ac:dyDescent="0.25">
      <c r="B68" s="30" t="s">
        <v>37</v>
      </c>
      <c r="C68" s="30" t="s">
        <v>18</v>
      </c>
      <c r="D68" s="28">
        <v>0</v>
      </c>
      <c r="E68" s="28">
        <v>0</v>
      </c>
      <c r="F68" s="37"/>
      <c r="G68" s="43">
        <v>0</v>
      </c>
      <c r="H68" s="43">
        <v>0</v>
      </c>
      <c r="I68" s="31"/>
      <c r="J68"/>
    </row>
    <row r="69" spans="2:10" x14ac:dyDescent="0.25">
      <c r="B69" s="30" t="s">
        <v>37</v>
      </c>
      <c r="C69" s="30" t="s">
        <v>19</v>
      </c>
      <c r="D69" s="28">
        <v>0</v>
      </c>
      <c r="E69" s="28">
        <v>0</v>
      </c>
      <c r="F69" s="37"/>
      <c r="G69" s="43">
        <v>0</v>
      </c>
      <c r="H69" s="43">
        <v>0</v>
      </c>
      <c r="I69" s="31"/>
      <c r="J69"/>
    </row>
    <row r="70" spans="2:10" x14ac:dyDescent="0.25">
      <c r="B70" s="30" t="s">
        <v>37</v>
      </c>
      <c r="C70" s="30" t="s">
        <v>20</v>
      </c>
      <c r="D70" s="28">
        <v>1</v>
      </c>
      <c r="E70" s="28">
        <v>1</v>
      </c>
      <c r="F70" s="37">
        <v>1</v>
      </c>
      <c r="G70" s="43">
        <v>1</v>
      </c>
      <c r="H70" s="43">
        <v>1</v>
      </c>
      <c r="I70" s="31">
        <v>1</v>
      </c>
      <c r="J70"/>
    </row>
    <row r="71" spans="2:10" x14ac:dyDescent="0.25">
      <c r="B71" s="30" t="s">
        <v>37</v>
      </c>
      <c r="C71" s="30" t="s">
        <v>21</v>
      </c>
      <c r="D71" s="28">
        <v>0</v>
      </c>
      <c r="E71" s="28">
        <v>0</v>
      </c>
      <c r="F71" s="37"/>
      <c r="G71" s="43">
        <v>1</v>
      </c>
      <c r="H71" s="43">
        <v>1</v>
      </c>
      <c r="I71" s="31">
        <v>1</v>
      </c>
      <c r="J71"/>
    </row>
    <row r="72" spans="2:10" x14ac:dyDescent="0.25">
      <c r="B72" s="30" t="s">
        <v>37</v>
      </c>
      <c r="C72" s="30" t="s">
        <v>22</v>
      </c>
      <c r="D72" s="28">
        <v>0</v>
      </c>
      <c r="E72" s="28">
        <v>1</v>
      </c>
      <c r="F72" s="37">
        <v>0</v>
      </c>
      <c r="G72" s="43">
        <v>1</v>
      </c>
      <c r="H72" s="43">
        <v>2</v>
      </c>
      <c r="I72" s="31">
        <v>0.5</v>
      </c>
      <c r="J72"/>
    </row>
    <row r="73" spans="2:10" x14ac:dyDescent="0.25">
      <c r="B73" s="30" t="s">
        <v>37</v>
      </c>
      <c r="C73" s="30" t="s">
        <v>23</v>
      </c>
      <c r="D73" s="28">
        <v>0</v>
      </c>
      <c r="E73" s="28">
        <v>2</v>
      </c>
      <c r="F73" s="37">
        <v>0</v>
      </c>
      <c r="G73" s="43">
        <v>1</v>
      </c>
      <c r="H73" s="43">
        <v>4</v>
      </c>
      <c r="I73" s="31">
        <v>0.25</v>
      </c>
      <c r="J73"/>
    </row>
    <row r="74" spans="2:10" x14ac:dyDescent="0.25">
      <c r="B74" s="30" t="s">
        <v>37</v>
      </c>
      <c r="C74" s="30" t="s">
        <v>24</v>
      </c>
      <c r="D74" s="28">
        <v>0</v>
      </c>
      <c r="E74" s="28">
        <v>0</v>
      </c>
      <c r="F74" s="37"/>
      <c r="G74" s="43">
        <v>1</v>
      </c>
      <c r="H74" s="43">
        <v>4</v>
      </c>
      <c r="I74" s="31">
        <v>0.25</v>
      </c>
      <c r="J74"/>
    </row>
    <row r="75" spans="2:10" x14ac:dyDescent="0.25">
      <c r="B75" s="30" t="s">
        <v>85</v>
      </c>
      <c r="C75" s="30"/>
      <c r="D75" s="28">
        <v>1</v>
      </c>
      <c r="E75" s="28">
        <v>4</v>
      </c>
      <c r="F75" s="37">
        <v>0.25</v>
      </c>
      <c r="G75" s="43">
        <v>1</v>
      </c>
      <c r="H75" s="43">
        <v>4</v>
      </c>
      <c r="I75" s="31">
        <v>0.25</v>
      </c>
      <c r="J75"/>
    </row>
    <row r="76" spans="2:10" x14ac:dyDescent="0.25">
      <c r="B76" s="30" t="s">
        <v>29</v>
      </c>
      <c r="C76" s="30" t="s">
        <v>18</v>
      </c>
      <c r="D76" s="28">
        <v>34</v>
      </c>
      <c r="E76" s="28">
        <v>34</v>
      </c>
      <c r="F76" s="37">
        <v>1</v>
      </c>
      <c r="G76" s="43">
        <v>34</v>
      </c>
      <c r="H76" s="43">
        <v>34</v>
      </c>
      <c r="I76" s="31">
        <v>1</v>
      </c>
      <c r="J76"/>
    </row>
    <row r="77" spans="2:10" x14ac:dyDescent="0.25">
      <c r="B77" s="30" t="s">
        <v>29</v>
      </c>
      <c r="C77" s="30" t="s">
        <v>19</v>
      </c>
      <c r="D77" s="28">
        <v>13</v>
      </c>
      <c r="E77" s="28">
        <v>15</v>
      </c>
      <c r="F77" s="37">
        <v>0.8666666666666667</v>
      </c>
      <c r="G77" s="43">
        <v>47</v>
      </c>
      <c r="H77" s="43">
        <v>49</v>
      </c>
      <c r="I77" s="31">
        <v>0.95918367346938771</v>
      </c>
      <c r="J77"/>
    </row>
    <row r="78" spans="2:10" x14ac:dyDescent="0.25">
      <c r="B78" s="30" t="s">
        <v>29</v>
      </c>
      <c r="C78" s="30" t="s">
        <v>20</v>
      </c>
      <c r="D78" s="28">
        <v>16</v>
      </c>
      <c r="E78" s="28">
        <v>16</v>
      </c>
      <c r="F78" s="37">
        <v>1</v>
      </c>
      <c r="G78" s="43">
        <v>63</v>
      </c>
      <c r="H78" s="43">
        <v>65</v>
      </c>
      <c r="I78" s="31">
        <v>0.96923076923076923</v>
      </c>
      <c r="J78"/>
    </row>
    <row r="79" spans="2:10" x14ac:dyDescent="0.25">
      <c r="B79" s="30" t="s">
        <v>29</v>
      </c>
      <c r="C79" s="30" t="s">
        <v>21</v>
      </c>
      <c r="D79" s="28">
        <v>17</v>
      </c>
      <c r="E79" s="28">
        <v>25</v>
      </c>
      <c r="F79" s="37">
        <v>0.68</v>
      </c>
      <c r="G79" s="43">
        <v>80</v>
      </c>
      <c r="H79" s="43">
        <v>90</v>
      </c>
      <c r="I79" s="31">
        <v>0.88888888888888884</v>
      </c>
      <c r="J79"/>
    </row>
    <row r="80" spans="2:10" x14ac:dyDescent="0.25">
      <c r="B80" s="30" t="s">
        <v>29</v>
      </c>
      <c r="C80" s="30" t="s">
        <v>22</v>
      </c>
      <c r="D80" s="28">
        <v>37</v>
      </c>
      <c r="E80" s="28">
        <v>63</v>
      </c>
      <c r="F80" s="37">
        <v>0.58730158730158732</v>
      </c>
      <c r="G80" s="43">
        <v>117</v>
      </c>
      <c r="H80" s="43">
        <v>153</v>
      </c>
      <c r="I80" s="31">
        <v>0.76470588235294112</v>
      </c>
      <c r="J80"/>
    </row>
    <row r="81" spans="2:10" x14ac:dyDescent="0.25">
      <c r="B81" s="30" t="s">
        <v>29</v>
      </c>
      <c r="C81" s="30" t="s">
        <v>23</v>
      </c>
      <c r="D81" s="28">
        <v>17</v>
      </c>
      <c r="E81" s="28">
        <v>33</v>
      </c>
      <c r="F81" s="37">
        <v>0.51515151515151514</v>
      </c>
      <c r="G81" s="43">
        <v>134</v>
      </c>
      <c r="H81" s="43">
        <v>186</v>
      </c>
      <c r="I81" s="31">
        <v>0.72043010752688175</v>
      </c>
      <c r="J81"/>
    </row>
    <row r="82" spans="2:10" x14ac:dyDescent="0.25">
      <c r="B82" s="30" t="s">
        <v>29</v>
      </c>
      <c r="C82" s="30" t="s">
        <v>24</v>
      </c>
      <c r="D82" s="28">
        <v>2</v>
      </c>
      <c r="E82" s="28">
        <v>4</v>
      </c>
      <c r="F82" s="37">
        <v>0.5</v>
      </c>
      <c r="G82" s="43">
        <v>136</v>
      </c>
      <c r="H82" s="43">
        <v>190</v>
      </c>
      <c r="I82" s="31">
        <v>0.71578947368421053</v>
      </c>
      <c r="J82"/>
    </row>
    <row r="83" spans="2:10" x14ac:dyDescent="0.25">
      <c r="B83" s="30" t="s">
        <v>86</v>
      </c>
      <c r="C83" s="30"/>
      <c r="D83" s="28">
        <v>136</v>
      </c>
      <c r="E83" s="28">
        <v>190</v>
      </c>
      <c r="F83" s="37">
        <v>0.71578947368421053</v>
      </c>
      <c r="G83" s="43">
        <v>136</v>
      </c>
      <c r="H83" s="43">
        <v>190</v>
      </c>
      <c r="I83" s="31">
        <v>0.71578947368421053</v>
      </c>
      <c r="J83"/>
    </row>
    <row r="84" spans="2:10" x14ac:dyDescent="0.25">
      <c r="B84" s="30" t="s">
        <v>36</v>
      </c>
      <c r="C84" s="30" t="s">
        <v>18</v>
      </c>
      <c r="D84" s="28">
        <v>3</v>
      </c>
      <c r="E84" s="28">
        <v>3</v>
      </c>
      <c r="F84" s="37">
        <v>1</v>
      </c>
      <c r="G84" s="43">
        <v>3</v>
      </c>
      <c r="H84" s="43">
        <v>3</v>
      </c>
      <c r="I84" s="31">
        <v>1</v>
      </c>
      <c r="J84"/>
    </row>
    <row r="85" spans="2:10" x14ac:dyDescent="0.25">
      <c r="B85" s="30" t="s">
        <v>36</v>
      </c>
      <c r="C85" s="30" t="s">
        <v>19</v>
      </c>
      <c r="D85" s="28">
        <v>1</v>
      </c>
      <c r="E85" s="28">
        <v>2</v>
      </c>
      <c r="F85" s="37">
        <v>0.5</v>
      </c>
      <c r="G85" s="43">
        <v>4</v>
      </c>
      <c r="H85" s="43">
        <v>5</v>
      </c>
      <c r="I85" s="31">
        <v>0.8</v>
      </c>
      <c r="J85"/>
    </row>
    <row r="86" spans="2:10" x14ac:dyDescent="0.25">
      <c r="B86" s="30" t="s">
        <v>36</v>
      </c>
      <c r="C86" s="30" t="s">
        <v>20</v>
      </c>
      <c r="D86" s="28">
        <v>1</v>
      </c>
      <c r="E86" s="28">
        <v>1</v>
      </c>
      <c r="F86" s="37">
        <v>1</v>
      </c>
      <c r="G86" s="43">
        <v>5</v>
      </c>
      <c r="H86" s="43">
        <v>6</v>
      </c>
      <c r="I86" s="31">
        <v>0.83333333333333337</v>
      </c>
      <c r="J86"/>
    </row>
    <row r="87" spans="2:10" x14ac:dyDescent="0.25">
      <c r="B87" s="30" t="s">
        <v>36</v>
      </c>
      <c r="C87" s="30" t="s">
        <v>21</v>
      </c>
      <c r="D87" s="28">
        <v>3</v>
      </c>
      <c r="E87" s="28">
        <v>3</v>
      </c>
      <c r="F87" s="37">
        <v>1</v>
      </c>
      <c r="G87" s="43">
        <v>8</v>
      </c>
      <c r="H87" s="43">
        <v>9</v>
      </c>
      <c r="I87" s="31">
        <v>0.88888888888888884</v>
      </c>
      <c r="J87"/>
    </row>
    <row r="88" spans="2:10" x14ac:dyDescent="0.25">
      <c r="B88" s="30" t="s">
        <v>36</v>
      </c>
      <c r="C88" s="30" t="s">
        <v>22</v>
      </c>
      <c r="D88" s="28">
        <v>4</v>
      </c>
      <c r="E88" s="28">
        <v>5</v>
      </c>
      <c r="F88" s="37">
        <v>0.8</v>
      </c>
      <c r="G88" s="43">
        <v>12</v>
      </c>
      <c r="H88" s="43">
        <v>14</v>
      </c>
      <c r="I88" s="31">
        <v>0.8571428571428571</v>
      </c>
      <c r="J88"/>
    </row>
    <row r="89" spans="2:10" x14ac:dyDescent="0.25">
      <c r="B89" s="30" t="s">
        <v>36</v>
      </c>
      <c r="C89" s="30" t="s">
        <v>23</v>
      </c>
      <c r="D89" s="28">
        <v>0</v>
      </c>
      <c r="E89" s="28">
        <v>0</v>
      </c>
      <c r="F89" s="37"/>
      <c r="G89" s="43">
        <v>12</v>
      </c>
      <c r="H89" s="43">
        <v>14</v>
      </c>
      <c r="I89" s="31">
        <v>0.8571428571428571</v>
      </c>
      <c r="J89"/>
    </row>
    <row r="90" spans="2:10" x14ac:dyDescent="0.25">
      <c r="B90" s="30" t="s">
        <v>36</v>
      </c>
      <c r="C90" s="30" t="s">
        <v>24</v>
      </c>
      <c r="D90" s="28">
        <v>0</v>
      </c>
      <c r="E90" s="28">
        <v>0</v>
      </c>
      <c r="F90" s="37"/>
      <c r="G90" s="43">
        <v>12</v>
      </c>
      <c r="H90" s="43">
        <v>14</v>
      </c>
      <c r="I90" s="31">
        <v>0.8571428571428571</v>
      </c>
      <c r="J90"/>
    </row>
    <row r="91" spans="2:10" x14ac:dyDescent="0.25">
      <c r="B91" s="30" t="s">
        <v>87</v>
      </c>
      <c r="C91" s="30"/>
      <c r="D91" s="28">
        <v>12</v>
      </c>
      <c r="E91" s="28">
        <v>14</v>
      </c>
      <c r="F91" s="37">
        <v>0.8571428571428571</v>
      </c>
      <c r="G91" s="43">
        <v>12</v>
      </c>
      <c r="H91" s="43">
        <v>14</v>
      </c>
      <c r="I91" s="31">
        <v>0.8571428571428571</v>
      </c>
      <c r="J91"/>
    </row>
    <row r="92" spans="2:10" x14ac:dyDescent="0.25">
      <c r="B92" s="30" t="s">
        <v>35</v>
      </c>
      <c r="C92" s="30" t="s">
        <v>18</v>
      </c>
      <c r="D92" s="28">
        <v>1</v>
      </c>
      <c r="E92" s="28">
        <v>1</v>
      </c>
      <c r="F92" s="37">
        <v>1</v>
      </c>
      <c r="G92" s="43">
        <v>1</v>
      </c>
      <c r="H92" s="43">
        <v>1</v>
      </c>
      <c r="I92" s="31">
        <v>1</v>
      </c>
      <c r="J92"/>
    </row>
    <row r="93" spans="2:10" x14ac:dyDescent="0.25">
      <c r="B93" s="30" t="s">
        <v>35</v>
      </c>
      <c r="C93" s="30" t="s">
        <v>19</v>
      </c>
      <c r="D93" s="28">
        <v>1</v>
      </c>
      <c r="E93" s="28">
        <v>1</v>
      </c>
      <c r="F93" s="37">
        <v>1</v>
      </c>
      <c r="G93" s="43">
        <v>2</v>
      </c>
      <c r="H93" s="43">
        <v>2</v>
      </c>
      <c r="I93" s="31">
        <v>1</v>
      </c>
      <c r="J93"/>
    </row>
    <row r="94" spans="2:10" x14ac:dyDescent="0.25">
      <c r="B94" s="30" t="s">
        <v>35</v>
      </c>
      <c r="C94" s="30" t="s">
        <v>20</v>
      </c>
      <c r="D94" s="28">
        <v>1</v>
      </c>
      <c r="E94" s="28">
        <v>1</v>
      </c>
      <c r="F94" s="37">
        <v>1</v>
      </c>
      <c r="G94" s="43">
        <v>3</v>
      </c>
      <c r="H94" s="43">
        <v>3</v>
      </c>
      <c r="I94" s="31">
        <v>1</v>
      </c>
      <c r="J94"/>
    </row>
    <row r="95" spans="2:10" x14ac:dyDescent="0.25">
      <c r="B95" s="30" t="s">
        <v>35</v>
      </c>
      <c r="C95" s="30" t="s">
        <v>21</v>
      </c>
      <c r="D95" s="28">
        <v>0</v>
      </c>
      <c r="E95" s="28">
        <v>0</v>
      </c>
      <c r="F95" s="37"/>
      <c r="G95" s="43">
        <v>3</v>
      </c>
      <c r="H95" s="43">
        <v>3</v>
      </c>
      <c r="I95" s="31">
        <v>1</v>
      </c>
      <c r="J95"/>
    </row>
    <row r="96" spans="2:10" x14ac:dyDescent="0.25">
      <c r="B96" s="30" t="s">
        <v>35</v>
      </c>
      <c r="C96" s="30" t="s">
        <v>22</v>
      </c>
      <c r="D96" s="28">
        <v>0</v>
      </c>
      <c r="E96" s="28">
        <v>0</v>
      </c>
      <c r="F96" s="37"/>
      <c r="G96" s="43">
        <v>3</v>
      </c>
      <c r="H96" s="43">
        <v>3</v>
      </c>
      <c r="I96" s="31">
        <v>1</v>
      </c>
      <c r="J96"/>
    </row>
    <row r="97" spans="2:10" x14ac:dyDescent="0.25">
      <c r="B97" s="30" t="s">
        <v>35</v>
      </c>
      <c r="C97" s="30" t="s">
        <v>23</v>
      </c>
      <c r="D97" s="28">
        <v>1</v>
      </c>
      <c r="E97" s="28">
        <v>2</v>
      </c>
      <c r="F97" s="37">
        <v>0.5</v>
      </c>
      <c r="G97" s="43">
        <v>4</v>
      </c>
      <c r="H97" s="43">
        <v>5</v>
      </c>
      <c r="I97" s="31">
        <v>0.8</v>
      </c>
      <c r="J97"/>
    </row>
    <row r="98" spans="2:10" x14ac:dyDescent="0.25">
      <c r="B98" s="30" t="s">
        <v>35</v>
      </c>
      <c r="C98" s="30" t="s">
        <v>24</v>
      </c>
      <c r="D98" s="28">
        <v>0</v>
      </c>
      <c r="E98" s="28">
        <v>0</v>
      </c>
      <c r="F98" s="37"/>
      <c r="G98" s="43">
        <v>4</v>
      </c>
      <c r="H98" s="43">
        <v>5</v>
      </c>
      <c r="I98" s="31">
        <v>0.8</v>
      </c>
      <c r="J98"/>
    </row>
    <row r="99" spans="2:10" x14ac:dyDescent="0.25">
      <c r="B99" s="30" t="s">
        <v>88</v>
      </c>
      <c r="C99" s="30"/>
      <c r="D99" s="28">
        <v>4</v>
      </c>
      <c r="E99" s="28">
        <v>5</v>
      </c>
      <c r="F99" s="37">
        <v>0.8</v>
      </c>
      <c r="G99" s="43">
        <v>4</v>
      </c>
      <c r="H99" s="43">
        <v>5</v>
      </c>
      <c r="I99" s="31">
        <v>0.8</v>
      </c>
      <c r="J99"/>
    </row>
    <row r="100" spans="2:10" x14ac:dyDescent="0.25">
      <c r="B100" s="30" t="s">
        <v>28</v>
      </c>
      <c r="C100" s="30" t="s">
        <v>18</v>
      </c>
      <c r="D100" s="28">
        <v>23</v>
      </c>
      <c r="E100" s="28">
        <v>23</v>
      </c>
      <c r="F100" s="37">
        <v>1</v>
      </c>
      <c r="G100" s="43">
        <v>23</v>
      </c>
      <c r="H100" s="43">
        <v>23</v>
      </c>
      <c r="I100" s="31">
        <v>1</v>
      </c>
      <c r="J100"/>
    </row>
    <row r="101" spans="2:10" x14ac:dyDescent="0.25">
      <c r="B101" s="30" t="s">
        <v>28</v>
      </c>
      <c r="C101" s="30" t="s">
        <v>19</v>
      </c>
      <c r="D101" s="28">
        <v>10</v>
      </c>
      <c r="E101" s="28">
        <v>11</v>
      </c>
      <c r="F101" s="37">
        <v>0.90909090909090906</v>
      </c>
      <c r="G101" s="43">
        <v>33</v>
      </c>
      <c r="H101" s="43">
        <v>34</v>
      </c>
      <c r="I101" s="31">
        <v>0.97058823529411764</v>
      </c>
      <c r="J101"/>
    </row>
    <row r="102" spans="2:10" x14ac:dyDescent="0.25">
      <c r="B102" s="30" t="s">
        <v>28</v>
      </c>
      <c r="C102" s="30" t="s">
        <v>20</v>
      </c>
      <c r="D102" s="28">
        <v>13</v>
      </c>
      <c r="E102" s="28">
        <v>18</v>
      </c>
      <c r="F102" s="37">
        <v>0.72222222222222221</v>
      </c>
      <c r="G102" s="43">
        <v>46</v>
      </c>
      <c r="H102" s="43">
        <v>52</v>
      </c>
      <c r="I102" s="31">
        <v>0.88461538461538458</v>
      </c>
      <c r="J102"/>
    </row>
    <row r="103" spans="2:10" x14ac:dyDescent="0.25">
      <c r="B103" s="30" t="s">
        <v>28</v>
      </c>
      <c r="C103" s="30" t="s">
        <v>21</v>
      </c>
      <c r="D103" s="28">
        <v>14</v>
      </c>
      <c r="E103" s="28">
        <v>21</v>
      </c>
      <c r="F103" s="37">
        <v>0.66666666666666663</v>
      </c>
      <c r="G103" s="43">
        <v>60</v>
      </c>
      <c r="H103" s="43">
        <v>73</v>
      </c>
      <c r="I103" s="31">
        <v>0.82191780821917804</v>
      </c>
      <c r="J103"/>
    </row>
    <row r="104" spans="2:10" x14ac:dyDescent="0.25">
      <c r="B104" s="30" t="s">
        <v>28</v>
      </c>
      <c r="C104" s="30" t="s">
        <v>22</v>
      </c>
      <c r="D104" s="28">
        <v>18</v>
      </c>
      <c r="E104" s="28">
        <v>35</v>
      </c>
      <c r="F104" s="37">
        <v>0.51428571428571423</v>
      </c>
      <c r="G104" s="43">
        <v>78</v>
      </c>
      <c r="H104" s="43">
        <v>108</v>
      </c>
      <c r="I104" s="31">
        <v>0.72222222222222221</v>
      </c>
      <c r="J104"/>
    </row>
    <row r="105" spans="2:10" x14ac:dyDescent="0.25">
      <c r="B105" s="30" t="s">
        <v>28</v>
      </c>
      <c r="C105" s="30" t="s">
        <v>23</v>
      </c>
      <c r="D105" s="28">
        <v>6</v>
      </c>
      <c r="E105" s="28">
        <v>13</v>
      </c>
      <c r="F105" s="37">
        <v>0.46153846153846156</v>
      </c>
      <c r="G105" s="43">
        <v>84</v>
      </c>
      <c r="H105" s="43">
        <v>121</v>
      </c>
      <c r="I105" s="31">
        <v>0.69421487603305787</v>
      </c>
      <c r="J105"/>
    </row>
    <row r="106" spans="2:10" x14ac:dyDescent="0.25">
      <c r="B106" s="30" t="s">
        <v>28</v>
      </c>
      <c r="C106" s="30" t="s">
        <v>24</v>
      </c>
      <c r="D106" s="28">
        <v>0</v>
      </c>
      <c r="E106" s="28">
        <v>0</v>
      </c>
      <c r="F106" s="37"/>
      <c r="G106" s="43">
        <v>84</v>
      </c>
      <c r="H106" s="43">
        <v>121</v>
      </c>
      <c r="I106" s="31">
        <v>0.69421487603305787</v>
      </c>
      <c r="J106"/>
    </row>
    <row r="107" spans="2:10" x14ac:dyDescent="0.25">
      <c r="B107" s="30" t="s">
        <v>89</v>
      </c>
      <c r="C107" s="30"/>
      <c r="D107" s="28">
        <v>84</v>
      </c>
      <c r="E107" s="28">
        <v>121</v>
      </c>
      <c r="F107" s="37">
        <v>0.69421487603305787</v>
      </c>
      <c r="G107" s="43">
        <v>84</v>
      </c>
      <c r="H107" s="43">
        <v>121</v>
      </c>
      <c r="I107" s="31">
        <v>0.69421487603305787</v>
      </c>
      <c r="J107"/>
    </row>
    <row r="108" spans="2:10" x14ac:dyDescent="0.25">
      <c r="B108" s="30" t="s">
        <v>27</v>
      </c>
      <c r="C108" s="30" t="s">
        <v>18</v>
      </c>
      <c r="D108" s="28">
        <v>1</v>
      </c>
      <c r="E108" s="28">
        <v>1</v>
      </c>
      <c r="F108" s="37">
        <v>1</v>
      </c>
      <c r="G108" s="43">
        <v>1</v>
      </c>
      <c r="H108" s="43">
        <v>1</v>
      </c>
      <c r="I108" s="31">
        <v>1</v>
      </c>
      <c r="J108"/>
    </row>
    <row r="109" spans="2:10" x14ac:dyDescent="0.25">
      <c r="B109" s="30" t="s">
        <v>27</v>
      </c>
      <c r="C109" s="30" t="s">
        <v>19</v>
      </c>
      <c r="D109" s="28">
        <v>2</v>
      </c>
      <c r="E109" s="28">
        <v>2</v>
      </c>
      <c r="F109" s="37">
        <v>1</v>
      </c>
      <c r="G109" s="43">
        <v>3</v>
      </c>
      <c r="H109" s="43">
        <v>3</v>
      </c>
      <c r="I109" s="31">
        <v>1</v>
      </c>
      <c r="J109"/>
    </row>
    <row r="110" spans="2:10" x14ac:dyDescent="0.25">
      <c r="B110" s="30" t="s">
        <v>27</v>
      </c>
      <c r="C110" s="30" t="s">
        <v>20</v>
      </c>
      <c r="D110" s="28">
        <v>1</v>
      </c>
      <c r="E110" s="28">
        <v>2</v>
      </c>
      <c r="F110" s="37">
        <v>0.5</v>
      </c>
      <c r="G110" s="43">
        <v>4</v>
      </c>
      <c r="H110" s="43">
        <v>5</v>
      </c>
      <c r="I110" s="31">
        <v>0.8</v>
      </c>
      <c r="J110"/>
    </row>
    <row r="111" spans="2:10" x14ac:dyDescent="0.25">
      <c r="B111" s="30" t="s">
        <v>27</v>
      </c>
      <c r="C111" s="30" t="s">
        <v>21</v>
      </c>
      <c r="D111" s="28">
        <v>0</v>
      </c>
      <c r="E111" s="28">
        <v>1</v>
      </c>
      <c r="F111" s="37">
        <v>0</v>
      </c>
      <c r="G111" s="43">
        <v>4</v>
      </c>
      <c r="H111" s="43">
        <v>6</v>
      </c>
      <c r="I111" s="31">
        <v>0.66666666666666663</v>
      </c>
      <c r="J111"/>
    </row>
    <row r="112" spans="2:10" x14ac:dyDescent="0.25">
      <c r="B112" s="30" t="s">
        <v>27</v>
      </c>
      <c r="C112" s="30" t="s">
        <v>22</v>
      </c>
      <c r="D112" s="28">
        <v>0</v>
      </c>
      <c r="E112" s="28">
        <v>0</v>
      </c>
      <c r="F112" s="37"/>
      <c r="G112" s="43">
        <v>4</v>
      </c>
      <c r="H112" s="43">
        <v>6</v>
      </c>
      <c r="I112" s="31">
        <v>0.66666666666666663</v>
      </c>
      <c r="J112"/>
    </row>
    <row r="113" spans="2:10" x14ac:dyDescent="0.25">
      <c r="B113" s="30" t="s">
        <v>27</v>
      </c>
      <c r="C113" s="30" t="s">
        <v>23</v>
      </c>
      <c r="D113" s="28">
        <v>3</v>
      </c>
      <c r="E113" s="28">
        <v>4</v>
      </c>
      <c r="F113" s="37">
        <v>0.75</v>
      </c>
      <c r="G113" s="43">
        <v>7</v>
      </c>
      <c r="H113" s="43">
        <v>10</v>
      </c>
      <c r="I113" s="31">
        <v>0.7</v>
      </c>
      <c r="J113"/>
    </row>
    <row r="114" spans="2:10" x14ac:dyDescent="0.25">
      <c r="B114" s="30" t="s">
        <v>27</v>
      </c>
      <c r="C114" s="30" t="s">
        <v>24</v>
      </c>
      <c r="D114" s="28">
        <v>0</v>
      </c>
      <c r="E114" s="28">
        <v>0</v>
      </c>
      <c r="F114" s="37"/>
      <c r="G114" s="43">
        <v>7</v>
      </c>
      <c r="H114" s="43">
        <v>10</v>
      </c>
      <c r="I114" s="31">
        <v>0.7</v>
      </c>
      <c r="J114"/>
    </row>
    <row r="115" spans="2:10" x14ac:dyDescent="0.25">
      <c r="B115" s="30" t="s">
        <v>90</v>
      </c>
      <c r="C115" s="30"/>
      <c r="D115" s="28">
        <v>7</v>
      </c>
      <c r="E115" s="28">
        <v>10</v>
      </c>
      <c r="F115" s="37">
        <v>0.7</v>
      </c>
      <c r="G115" s="43">
        <v>7</v>
      </c>
      <c r="H115" s="43">
        <v>10</v>
      </c>
      <c r="I115" s="31">
        <v>0.7</v>
      </c>
      <c r="J115"/>
    </row>
    <row r="116" spans="2:10" x14ac:dyDescent="0.25">
      <c r="B116" s="30" t="s">
        <v>34</v>
      </c>
      <c r="C116" s="30" t="s">
        <v>18</v>
      </c>
      <c r="D116" s="28">
        <v>1</v>
      </c>
      <c r="E116" s="28">
        <v>1</v>
      </c>
      <c r="F116" s="37">
        <v>1</v>
      </c>
      <c r="G116" s="43">
        <v>1</v>
      </c>
      <c r="H116" s="43">
        <v>1</v>
      </c>
      <c r="I116" s="31">
        <v>1</v>
      </c>
      <c r="J116"/>
    </row>
    <row r="117" spans="2:10" x14ac:dyDescent="0.25">
      <c r="B117" s="30" t="s">
        <v>34</v>
      </c>
      <c r="C117" s="30" t="s">
        <v>19</v>
      </c>
      <c r="D117" s="28">
        <v>1</v>
      </c>
      <c r="E117" s="28">
        <v>1</v>
      </c>
      <c r="F117" s="37">
        <v>1</v>
      </c>
      <c r="G117" s="43">
        <v>2</v>
      </c>
      <c r="H117" s="43">
        <v>2</v>
      </c>
      <c r="I117" s="31">
        <v>1</v>
      </c>
      <c r="J117"/>
    </row>
    <row r="118" spans="2:10" x14ac:dyDescent="0.25">
      <c r="B118" s="30" t="s">
        <v>34</v>
      </c>
      <c r="C118" s="30" t="s">
        <v>20</v>
      </c>
      <c r="D118" s="28">
        <v>0</v>
      </c>
      <c r="E118" s="28">
        <v>0</v>
      </c>
      <c r="F118" s="37"/>
      <c r="G118" s="43">
        <v>2</v>
      </c>
      <c r="H118" s="43">
        <v>2</v>
      </c>
      <c r="I118" s="31">
        <v>1</v>
      </c>
      <c r="J118"/>
    </row>
    <row r="119" spans="2:10" x14ac:dyDescent="0.25">
      <c r="B119" s="30" t="s">
        <v>34</v>
      </c>
      <c r="C119" s="30" t="s">
        <v>21</v>
      </c>
      <c r="D119" s="28">
        <v>0</v>
      </c>
      <c r="E119" s="28">
        <v>0</v>
      </c>
      <c r="F119" s="37"/>
      <c r="G119" s="43">
        <v>2</v>
      </c>
      <c r="H119" s="43">
        <v>2</v>
      </c>
      <c r="I119" s="31">
        <v>1</v>
      </c>
      <c r="J119"/>
    </row>
    <row r="120" spans="2:10" x14ac:dyDescent="0.25">
      <c r="B120" s="30" t="s">
        <v>34</v>
      </c>
      <c r="C120" s="30" t="s">
        <v>22</v>
      </c>
      <c r="D120" s="28">
        <v>0</v>
      </c>
      <c r="E120" s="28">
        <v>0</v>
      </c>
      <c r="F120" s="37"/>
      <c r="G120" s="43">
        <v>2</v>
      </c>
      <c r="H120" s="43">
        <v>2</v>
      </c>
      <c r="I120" s="31">
        <v>1</v>
      </c>
      <c r="J120"/>
    </row>
    <row r="121" spans="2:10" x14ac:dyDescent="0.25">
      <c r="B121" s="30" t="s">
        <v>34</v>
      </c>
      <c r="C121" s="30" t="s">
        <v>23</v>
      </c>
      <c r="D121" s="28">
        <v>0</v>
      </c>
      <c r="E121" s="28">
        <v>0</v>
      </c>
      <c r="F121" s="37"/>
      <c r="G121" s="43">
        <v>2</v>
      </c>
      <c r="H121" s="43">
        <v>2</v>
      </c>
      <c r="I121" s="31">
        <v>1</v>
      </c>
      <c r="J121"/>
    </row>
    <row r="122" spans="2:10" x14ac:dyDescent="0.25">
      <c r="B122" s="30" t="s">
        <v>34</v>
      </c>
      <c r="C122" s="30" t="s">
        <v>24</v>
      </c>
      <c r="D122" s="28">
        <v>0</v>
      </c>
      <c r="E122" s="28">
        <v>0</v>
      </c>
      <c r="F122" s="37"/>
      <c r="G122" s="43">
        <v>2</v>
      </c>
      <c r="H122" s="43">
        <v>2</v>
      </c>
      <c r="I122" s="31">
        <v>1</v>
      </c>
      <c r="J122"/>
    </row>
    <row r="123" spans="2:10" x14ac:dyDescent="0.25">
      <c r="B123" s="30" t="s">
        <v>91</v>
      </c>
      <c r="C123" s="30"/>
      <c r="D123" s="28">
        <v>2</v>
      </c>
      <c r="E123" s="28">
        <v>2</v>
      </c>
      <c r="F123" s="37">
        <v>1</v>
      </c>
      <c r="G123" s="43">
        <v>2</v>
      </c>
      <c r="H123" s="43">
        <v>2</v>
      </c>
      <c r="I123" s="31">
        <v>1</v>
      </c>
      <c r="J123"/>
    </row>
    <row r="124" spans="2:10" x14ac:dyDescent="0.25">
      <c r="B124" s="30" t="s">
        <v>33</v>
      </c>
      <c r="C124" s="30" t="s">
        <v>18</v>
      </c>
      <c r="D124" s="28">
        <v>5</v>
      </c>
      <c r="E124" s="28">
        <v>5</v>
      </c>
      <c r="F124" s="37">
        <v>1</v>
      </c>
      <c r="G124" s="43">
        <v>5</v>
      </c>
      <c r="H124" s="43">
        <v>5</v>
      </c>
      <c r="I124" s="31">
        <v>1</v>
      </c>
      <c r="J124"/>
    </row>
    <row r="125" spans="2:10" x14ac:dyDescent="0.25">
      <c r="B125" s="30" t="s">
        <v>33</v>
      </c>
      <c r="C125" s="30" t="s">
        <v>19</v>
      </c>
      <c r="D125" s="28">
        <v>3</v>
      </c>
      <c r="E125" s="28">
        <v>3</v>
      </c>
      <c r="F125" s="37">
        <v>1</v>
      </c>
      <c r="G125" s="43">
        <v>8</v>
      </c>
      <c r="H125" s="43">
        <v>8</v>
      </c>
      <c r="I125" s="31">
        <v>1</v>
      </c>
      <c r="J125"/>
    </row>
    <row r="126" spans="2:10" x14ac:dyDescent="0.25">
      <c r="B126" s="30" t="s">
        <v>33</v>
      </c>
      <c r="C126" s="30" t="s">
        <v>20</v>
      </c>
      <c r="D126" s="28">
        <v>2</v>
      </c>
      <c r="E126" s="28">
        <v>2</v>
      </c>
      <c r="F126" s="37">
        <v>1</v>
      </c>
      <c r="G126" s="43">
        <v>10</v>
      </c>
      <c r="H126" s="43">
        <v>10</v>
      </c>
      <c r="I126" s="31">
        <v>1</v>
      </c>
      <c r="J126"/>
    </row>
    <row r="127" spans="2:10" x14ac:dyDescent="0.25">
      <c r="B127" s="30" t="s">
        <v>33</v>
      </c>
      <c r="C127" s="30" t="s">
        <v>21</v>
      </c>
      <c r="D127" s="28">
        <v>5</v>
      </c>
      <c r="E127" s="28">
        <v>5</v>
      </c>
      <c r="F127" s="37">
        <v>1</v>
      </c>
      <c r="G127" s="43">
        <v>15</v>
      </c>
      <c r="H127" s="43">
        <v>15</v>
      </c>
      <c r="I127" s="31">
        <v>1</v>
      </c>
      <c r="J127"/>
    </row>
    <row r="128" spans="2:10" x14ac:dyDescent="0.25">
      <c r="B128" s="30" t="s">
        <v>33</v>
      </c>
      <c r="C128" s="30" t="s">
        <v>22</v>
      </c>
      <c r="D128" s="28">
        <v>5</v>
      </c>
      <c r="E128" s="28">
        <v>8</v>
      </c>
      <c r="F128" s="37">
        <v>0.625</v>
      </c>
      <c r="G128" s="43">
        <v>20</v>
      </c>
      <c r="H128" s="43">
        <v>23</v>
      </c>
      <c r="I128" s="31">
        <v>0.86956521739130432</v>
      </c>
      <c r="J128"/>
    </row>
    <row r="129" spans="2:10" x14ac:dyDescent="0.25">
      <c r="B129" s="30" t="s">
        <v>33</v>
      </c>
      <c r="C129" s="30" t="s">
        <v>23</v>
      </c>
      <c r="D129" s="28">
        <v>5</v>
      </c>
      <c r="E129" s="28">
        <v>8</v>
      </c>
      <c r="F129" s="37">
        <v>0.625</v>
      </c>
      <c r="G129" s="43">
        <v>25</v>
      </c>
      <c r="H129" s="43">
        <v>31</v>
      </c>
      <c r="I129" s="31">
        <v>0.80645161290322576</v>
      </c>
      <c r="J129"/>
    </row>
    <row r="130" spans="2:10" x14ac:dyDescent="0.25">
      <c r="B130" s="30" t="s">
        <v>33</v>
      </c>
      <c r="C130" s="30" t="s">
        <v>24</v>
      </c>
      <c r="D130" s="28">
        <v>0</v>
      </c>
      <c r="E130" s="28">
        <v>0</v>
      </c>
      <c r="F130" s="37"/>
      <c r="G130" s="43">
        <v>25</v>
      </c>
      <c r="H130" s="43">
        <v>31</v>
      </c>
      <c r="I130" s="31">
        <v>0.80645161290322576</v>
      </c>
      <c r="J130"/>
    </row>
    <row r="131" spans="2:10" x14ac:dyDescent="0.25">
      <c r="B131" s="30" t="s">
        <v>92</v>
      </c>
      <c r="C131" s="30"/>
      <c r="D131" s="28">
        <v>25</v>
      </c>
      <c r="E131" s="28">
        <v>31</v>
      </c>
      <c r="F131" s="37">
        <v>0.80645161290322576</v>
      </c>
      <c r="G131" s="43">
        <v>25</v>
      </c>
      <c r="H131" s="43">
        <v>31</v>
      </c>
      <c r="I131" s="31">
        <v>0.80645161290322576</v>
      </c>
      <c r="J131"/>
    </row>
    <row r="132" spans="2:10" x14ac:dyDescent="0.25">
      <c r="B132" s="32" t="s">
        <v>41</v>
      </c>
      <c r="C132" s="32"/>
      <c r="D132" s="28">
        <v>648</v>
      </c>
      <c r="E132" s="28">
        <v>877</v>
      </c>
      <c r="F132" s="37">
        <v>0.73888255416191562</v>
      </c>
      <c r="G132" s="43">
        <v>648</v>
      </c>
      <c r="H132" s="43">
        <v>877</v>
      </c>
      <c r="I132" s="31">
        <v>0.73888255416191562</v>
      </c>
      <c r="J132"/>
    </row>
    <row r="133" spans="2:10" x14ac:dyDescent="0.25">
      <c r="B133"/>
      <c r="C133"/>
      <c r="D133"/>
      <c r="E133"/>
      <c r="F133"/>
      <c r="G133"/>
      <c r="H133"/>
      <c r="I133"/>
      <c r="J133"/>
    </row>
    <row r="134" spans="2:10" x14ac:dyDescent="0.25">
      <c r="B134"/>
      <c r="C134"/>
      <c r="D134"/>
      <c r="E134"/>
      <c r="F134"/>
      <c r="G134"/>
      <c r="H134"/>
      <c r="I134"/>
      <c r="J134"/>
    </row>
    <row r="135" spans="2:10" x14ac:dyDescent="0.25">
      <c r="B135"/>
      <c r="C135"/>
      <c r="D135"/>
      <c r="E135"/>
      <c r="F135"/>
      <c r="G135"/>
      <c r="H135"/>
      <c r="I135"/>
      <c r="J135"/>
    </row>
    <row r="136" spans="2:10" x14ac:dyDescent="0.25">
      <c r="B136"/>
      <c r="C136"/>
      <c r="D136"/>
      <c r="E136"/>
      <c r="F136"/>
      <c r="G136"/>
      <c r="H136"/>
      <c r="I136"/>
      <c r="J136"/>
    </row>
    <row r="137" spans="2:10" x14ac:dyDescent="0.25">
      <c r="B137"/>
      <c r="C137"/>
      <c r="D137"/>
      <c r="E137"/>
      <c r="F137"/>
      <c r="G137"/>
      <c r="H137"/>
      <c r="I137"/>
      <c r="J137"/>
    </row>
    <row r="138" spans="2:10" x14ac:dyDescent="0.25">
      <c r="B138"/>
      <c r="C138"/>
      <c r="D138"/>
      <c r="E138"/>
      <c r="F138"/>
      <c r="G138"/>
      <c r="H138"/>
      <c r="I138"/>
      <c r="J138"/>
    </row>
    <row r="139" spans="2:10" x14ac:dyDescent="0.25">
      <c r="B139"/>
      <c r="C139"/>
      <c r="D139"/>
      <c r="E139"/>
      <c r="F139"/>
      <c r="G139"/>
      <c r="H139"/>
      <c r="I139"/>
      <c r="J139"/>
    </row>
    <row r="140" spans="2:10" x14ac:dyDescent="0.25">
      <c r="B140"/>
      <c r="C140"/>
      <c r="D140"/>
      <c r="E140"/>
      <c r="F140"/>
      <c r="G140"/>
      <c r="H140"/>
      <c r="I140"/>
      <c r="J140"/>
    </row>
    <row r="141" spans="2:10" x14ac:dyDescent="0.25">
      <c r="B141"/>
      <c r="C141"/>
      <c r="D141"/>
      <c r="E141"/>
      <c r="F141"/>
      <c r="G141"/>
      <c r="H141"/>
      <c r="I141"/>
      <c r="J141"/>
    </row>
    <row r="142" spans="2:10" x14ac:dyDescent="0.25">
      <c r="B142"/>
      <c r="C142"/>
      <c r="D142"/>
      <c r="E142"/>
      <c r="F142"/>
      <c r="G142"/>
      <c r="H142"/>
      <c r="I142"/>
      <c r="J142"/>
    </row>
    <row r="143" spans="2:10" x14ac:dyDescent="0.25">
      <c r="B143"/>
      <c r="C143"/>
      <c r="D143"/>
      <c r="E143"/>
      <c r="F143"/>
      <c r="G143"/>
      <c r="H143"/>
      <c r="I143"/>
      <c r="J143"/>
    </row>
    <row r="144" spans="2:10" x14ac:dyDescent="0.25">
      <c r="B144"/>
      <c r="C144"/>
      <c r="D144"/>
      <c r="E144"/>
      <c r="F144"/>
      <c r="G144"/>
      <c r="H144"/>
      <c r="I144"/>
      <c r="J144"/>
    </row>
    <row r="145" spans="2:10" x14ac:dyDescent="0.25">
      <c r="B145"/>
      <c r="C145"/>
      <c r="D145"/>
      <c r="E145"/>
      <c r="F145"/>
      <c r="G145"/>
      <c r="H145"/>
      <c r="I145"/>
      <c r="J145"/>
    </row>
    <row r="146" spans="2:10" x14ac:dyDescent="0.25">
      <c r="B146"/>
      <c r="C146"/>
      <c r="D146"/>
      <c r="E146"/>
      <c r="F146"/>
      <c r="G146"/>
      <c r="H146"/>
      <c r="I146"/>
      <c r="J146"/>
    </row>
    <row r="147" spans="2:10" x14ac:dyDescent="0.25">
      <c r="B147"/>
      <c r="C147"/>
      <c r="D147"/>
      <c r="E147"/>
      <c r="F147"/>
      <c r="G147"/>
      <c r="H147"/>
      <c r="I147"/>
      <c r="J147"/>
    </row>
    <row r="148" spans="2:10" x14ac:dyDescent="0.25">
      <c r="B148"/>
      <c r="C148"/>
      <c r="D148"/>
      <c r="E148"/>
      <c r="F148"/>
      <c r="G148"/>
      <c r="H148"/>
      <c r="I148"/>
      <c r="J148"/>
    </row>
    <row r="149" spans="2:10" x14ac:dyDescent="0.25">
      <c r="B149"/>
      <c r="C149"/>
      <c r="D149"/>
      <c r="E149"/>
      <c r="F149"/>
      <c r="G149"/>
      <c r="H149"/>
      <c r="I149"/>
      <c r="J149"/>
    </row>
    <row r="150" spans="2:10" x14ac:dyDescent="0.25">
      <c r="B150"/>
      <c r="C150"/>
      <c r="D150"/>
      <c r="E150"/>
      <c r="F150"/>
      <c r="G150"/>
      <c r="H150"/>
      <c r="I150"/>
      <c r="J150"/>
    </row>
    <row r="151" spans="2:10" x14ac:dyDescent="0.25">
      <c r="B151"/>
      <c r="C151"/>
      <c r="D151"/>
      <c r="E151"/>
      <c r="F151"/>
      <c r="G151"/>
      <c r="H151"/>
      <c r="I151"/>
      <c r="J151"/>
    </row>
    <row r="152" spans="2:10" x14ac:dyDescent="0.25">
      <c r="B152"/>
      <c r="C152"/>
      <c r="D152"/>
      <c r="E152"/>
      <c r="F152"/>
      <c r="G152"/>
      <c r="H152"/>
      <c r="I152"/>
      <c r="J152"/>
    </row>
    <row r="153" spans="2:10" x14ac:dyDescent="0.25">
      <c r="B153"/>
      <c r="C153"/>
      <c r="D153"/>
      <c r="E153"/>
      <c r="F153"/>
      <c r="G153"/>
      <c r="H153"/>
      <c r="I153"/>
      <c r="J153"/>
    </row>
    <row r="154" spans="2:10" x14ac:dyDescent="0.25">
      <c r="B154"/>
      <c r="C154"/>
      <c r="D154"/>
      <c r="E154"/>
      <c r="F154"/>
      <c r="G154"/>
      <c r="H154"/>
      <c r="I154"/>
      <c r="J154"/>
    </row>
    <row r="155" spans="2:10" x14ac:dyDescent="0.25">
      <c r="B155"/>
      <c r="C155"/>
      <c r="D155"/>
      <c r="E155"/>
      <c r="F155"/>
      <c r="G155"/>
      <c r="H155"/>
      <c r="I155"/>
      <c r="J155"/>
    </row>
    <row r="156" spans="2:10" x14ac:dyDescent="0.25">
      <c r="B156"/>
      <c r="C156"/>
      <c r="D156"/>
      <c r="E156"/>
      <c r="F156"/>
      <c r="G156"/>
      <c r="H156"/>
      <c r="I156"/>
      <c r="J156"/>
    </row>
    <row r="157" spans="2:10" x14ac:dyDescent="0.25">
      <c r="B157"/>
      <c r="C157"/>
      <c r="D157"/>
      <c r="E157"/>
      <c r="F157"/>
      <c r="G157"/>
      <c r="H157"/>
      <c r="I157"/>
      <c r="J157"/>
    </row>
    <row r="158" spans="2:10" x14ac:dyDescent="0.25">
      <c r="B158"/>
      <c r="C158"/>
      <c r="D158"/>
      <c r="E158"/>
      <c r="F158"/>
      <c r="G158"/>
      <c r="H158"/>
      <c r="I158"/>
      <c r="J158"/>
    </row>
    <row r="159" spans="2:10" x14ac:dyDescent="0.25">
      <c r="B159"/>
      <c r="C159"/>
      <c r="D159"/>
      <c r="E159"/>
      <c r="F159"/>
      <c r="G159"/>
      <c r="H159"/>
      <c r="I159"/>
      <c r="J159"/>
    </row>
    <row r="160" spans="2:10" x14ac:dyDescent="0.25">
      <c r="B160"/>
      <c r="C160"/>
      <c r="D160"/>
      <c r="E160"/>
      <c r="F160"/>
      <c r="G160"/>
      <c r="H160"/>
      <c r="I160"/>
      <c r="J160"/>
    </row>
    <row r="161" spans="2:10" x14ac:dyDescent="0.25">
      <c r="B161"/>
      <c r="C161"/>
      <c r="D161"/>
      <c r="E161"/>
      <c r="F161"/>
      <c r="G161"/>
      <c r="H161"/>
      <c r="I161"/>
      <c r="J161"/>
    </row>
    <row r="162" spans="2:10" x14ac:dyDescent="0.25">
      <c r="B162"/>
      <c r="C162"/>
      <c r="D162"/>
      <c r="E162"/>
      <c r="F162"/>
      <c r="G162"/>
      <c r="H162"/>
      <c r="I162"/>
      <c r="J162"/>
    </row>
    <row r="163" spans="2:10" x14ac:dyDescent="0.25">
      <c r="B163"/>
      <c r="C163"/>
      <c r="D163"/>
      <c r="E163"/>
      <c r="F163"/>
      <c r="G163"/>
      <c r="H163"/>
      <c r="I163"/>
      <c r="J163"/>
    </row>
    <row r="164" spans="2:10" x14ac:dyDescent="0.25">
      <c r="B164"/>
      <c r="C164"/>
      <c r="D164"/>
      <c r="E164"/>
      <c r="F164"/>
      <c r="G164"/>
      <c r="H164"/>
      <c r="I164"/>
      <c r="J164"/>
    </row>
    <row r="165" spans="2:10" x14ac:dyDescent="0.25">
      <c r="B165"/>
      <c r="C165"/>
      <c r="D165"/>
      <c r="E165"/>
      <c r="F165"/>
      <c r="G165"/>
      <c r="H165"/>
      <c r="I165"/>
      <c r="J165"/>
    </row>
    <row r="166" spans="2:10" x14ac:dyDescent="0.25">
      <c r="B166"/>
      <c r="C166"/>
      <c r="D166"/>
      <c r="E166"/>
      <c r="F166"/>
      <c r="G166"/>
      <c r="H166"/>
      <c r="I166"/>
      <c r="J166"/>
    </row>
    <row r="167" spans="2:10" x14ac:dyDescent="0.25">
      <c r="B167"/>
      <c r="C167"/>
      <c r="D167"/>
      <c r="E167"/>
      <c r="F167"/>
      <c r="G167"/>
      <c r="H167"/>
      <c r="I167"/>
      <c r="J167"/>
    </row>
    <row r="168" spans="2:10" x14ac:dyDescent="0.25">
      <c r="B168"/>
      <c r="C168"/>
      <c r="D168"/>
      <c r="E168"/>
      <c r="F168"/>
      <c r="G168"/>
      <c r="H168"/>
      <c r="I168"/>
      <c r="J168"/>
    </row>
    <row r="169" spans="2:10" x14ac:dyDescent="0.25">
      <c r="B169"/>
      <c r="C169"/>
      <c r="D169"/>
      <c r="E169"/>
      <c r="F169"/>
      <c r="G169"/>
      <c r="H169"/>
      <c r="I169"/>
      <c r="J169"/>
    </row>
    <row r="170" spans="2:10" x14ac:dyDescent="0.25">
      <c r="B170"/>
      <c r="C170"/>
      <c r="D170"/>
      <c r="E170"/>
      <c r="F170"/>
      <c r="G170"/>
      <c r="H170"/>
      <c r="I170"/>
      <c r="J170"/>
    </row>
    <row r="171" spans="2:10" x14ac:dyDescent="0.25">
      <c r="B171"/>
      <c r="C171"/>
      <c r="D171"/>
      <c r="E171"/>
      <c r="F171"/>
      <c r="G171"/>
      <c r="H171"/>
      <c r="I171"/>
      <c r="J171"/>
    </row>
    <row r="172" spans="2:10" x14ac:dyDescent="0.25">
      <c r="B172"/>
      <c r="C172"/>
      <c r="D172"/>
      <c r="E172"/>
      <c r="F172"/>
      <c r="G172"/>
      <c r="H172"/>
      <c r="I172"/>
      <c r="J172"/>
    </row>
    <row r="173" spans="2:10" x14ac:dyDescent="0.25">
      <c r="B173"/>
      <c r="C173"/>
      <c r="D173"/>
      <c r="E173"/>
      <c r="F173"/>
      <c r="G173"/>
      <c r="H173"/>
      <c r="I173"/>
      <c r="J173"/>
    </row>
    <row r="174" spans="2:10" x14ac:dyDescent="0.25">
      <c r="B174"/>
      <c r="C174"/>
      <c r="D174"/>
      <c r="E174"/>
      <c r="F174"/>
      <c r="G174"/>
      <c r="H174"/>
      <c r="I174"/>
      <c r="J174"/>
    </row>
    <row r="175" spans="2:10" x14ac:dyDescent="0.25">
      <c r="B175"/>
      <c r="C175"/>
      <c r="D175"/>
      <c r="E175"/>
      <c r="F175"/>
      <c r="G175"/>
      <c r="H175"/>
      <c r="I175"/>
      <c r="J175"/>
    </row>
    <row r="176" spans="2:10" x14ac:dyDescent="0.25">
      <c r="B176"/>
      <c r="C176"/>
      <c r="D176"/>
      <c r="E176"/>
      <c r="F176"/>
      <c r="G176"/>
      <c r="H176"/>
      <c r="I176"/>
      <c r="J176"/>
    </row>
    <row r="177" spans="2:10" x14ac:dyDescent="0.25">
      <c r="B177"/>
      <c r="C177"/>
      <c r="D177"/>
      <c r="E177"/>
      <c r="F177"/>
      <c r="G177"/>
      <c r="H177"/>
      <c r="I177"/>
      <c r="J177"/>
    </row>
    <row r="178" spans="2:10" x14ac:dyDescent="0.25">
      <c r="B178"/>
      <c r="C178"/>
      <c r="D178"/>
      <c r="E178"/>
      <c r="F178"/>
      <c r="G178"/>
      <c r="H178"/>
      <c r="I178"/>
      <c r="J178"/>
    </row>
    <row r="179" spans="2:10" x14ac:dyDescent="0.25">
      <c r="B179"/>
      <c r="C179"/>
      <c r="D179"/>
      <c r="E179"/>
      <c r="F179"/>
      <c r="G179"/>
      <c r="H179"/>
      <c r="I179"/>
      <c r="J179"/>
    </row>
    <row r="180" spans="2:10" x14ac:dyDescent="0.25">
      <c r="B180"/>
      <c r="C180"/>
      <c r="D180"/>
      <c r="E180"/>
      <c r="F180"/>
      <c r="G180"/>
      <c r="H180"/>
      <c r="I180"/>
      <c r="J180"/>
    </row>
    <row r="181" spans="2:10" x14ac:dyDescent="0.25">
      <c r="B181"/>
      <c r="C181"/>
      <c r="D181"/>
      <c r="E181"/>
      <c r="F181"/>
      <c r="G181"/>
      <c r="H181"/>
      <c r="I181"/>
      <c r="J181"/>
    </row>
    <row r="182" spans="2:10" x14ac:dyDescent="0.25">
      <c r="B182"/>
      <c r="C182"/>
      <c r="D182"/>
      <c r="E182"/>
      <c r="F182"/>
      <c r="G182"/>
      <c r="H182"/>
      <c r="I182"/>
      <c r="J182"/>
    </row>
    <row r="183" spans="2:10" x14ac:dyDescent="0.25">
      <c r="B183"/>
      <c r="C183"/>
      <c r="D183"/>
      <c r="E183"/>
      <c r="F183"/>
      <c r="G183"/>
      <c r="H183"/>
      <c r="I183"/>
      <c r="J183"/>
    </row>
    <row r="184" spans="2:10" x14ac:dyDescent="0.25">
      <c r="B184"/>
      <c r="C184"/>
      <c r="D184"/>
      <c r="E184"/>
      <c r="F184"/>
      <c r="G184"/>
      <c r="H184"/>
      <c r="I184"/>
      <c r="J184"/>
    </row>
    <row r="185" spans="2:10" x14ac:dyDescent="0.25">
      <c r="B185"/>
      <c r="C185"/>
      <c r="D185"/>
      <c r="E185"/>
      <c r="F185"/>
      <c r="G185"/>
      <c r="H185"/>
      <c r="I185"/>
      <c r="J185"/>
    </row>
    <row r="186" spans="2:10" x14ac:dyDescent="0.25">
      <c r="B186"/>
      <c r="C186"/>
      <c r="D186"/>
      <c r="E186"/>
      <c r="F186"/>
      <c r="G186"/>
      <c r="H186"/>
      <c r="I186"/>
      <c r="J186"/>
    </row>
    <row r="187" spans="2:10" x14ac:dyDescent="0.25">
      <c r="B187"/>
      <c r="C187"/>
      <c r="D187"/>
      <c r="E187"/>
      <c r="F187"/>
      <c r="G187"/>
      <c r="H187"/>
      <c r="I187"/>
      <c r="J187"/>
    </row>
    <row r="188" spans="2:10" x14ac:dyDescent="0.25">
      <c r="B188"/>
      <c r="C188"/>
      <c r="D188"/>
      <c r="E188"/>
      <c r="F188"/>
      <c r="G188"/>
      <c r="H188"/>
      <c r="I188"/>
      <c r="J188"/>
    </row>
    <row r="189" spans="2:10" x14ac:dyDescent="0.25">
      <c r="B189"/>
      <c r="C189"/>
      <c r="D189"/>
      <c r="E189"/>
      <c r="F189"/>
      <c r="G189"/>
      <c r="H189"/>
      <c r="I189"/>
      <c r="J189"/>
    </row>
    <row r="190" spans="2:10" x14ac:dyDescent="0.25">
      <c r="B190"/>
      <c r="C190"/>
      <c r="D190"/>
      <c r="E190"/>
      <c r="F190"/>
      <c r="G190"/>
      <c r="H190"/>
      <c r="I190"/>
      <c r="J190"/>
    </row>
    <row r="191" spans="2:10" x14ac:dyDescent="0.25">
      <c r="B191"/>
      <c r="C191"/>
      <c r="D191"/>
      <c r="E191"/>
      <c r="F191"/>
      <c r="G191"/>
      <c r="H191"/>
      <c r="I191"/>
      <c r="J191"/>
    </row>
    <row r="192" spans="2:10" x14ac:dyDescent="0.25">
      <c r="B192"/>
      <c r="C192"/>
      <c r="D192"/>
      <c r="E192"/>
      <c r="F192"/>
      <c r="G192"/>
      <c r="H192"/>
      <c r="I192"/>
      <c r="J192"/>
    </row>
    <row r="193" spans="2:10" x14ac:dyDescent="0.25">
      <c r="B193"/>
      <c r="C193"/>
      <c r="D193"/>
      <c r="E193"/>
      <c r="F193"/>
      <c r="G193"/>
      <c r="H193"/>
      <c r="I193"/>
      <c r="J193"/>
    </row>
    <row r="194" spans="2:10" x14ac:dyDescent="0.25">
      <c r="B194"/>
      <c r="C194"/>
      <c r="D194"/>
      <c r="E194"/>
      <c r="F194"/>
      <c r="G194"/>
      <c r="H194"/>
      <c r="I194"/>
      <c r="J194"/>
    </row>
    <row r="195" spans="2:10" x14ac:dyDescent="0.25">
      <c r="B195"/>
      <c r="C195"/>
      <c r="D195"/>
      <c r="E195"/>
      <c r="F195"/>
      <c r="G195"/>
      <c r="H195"/>
      <c r="I195"/>
      <c r="J195"/>
    </row>
    <row r="196" spans="2:10" x14ac:dyDescent="0.25">
      <c r="B196"/>
      <c r="C196"/>
      <c r="D196"/>
      <c r="E196"/>
      <c r="F196"/>
      <c r="G196"/>
      <c r="H196"/>
      <c r="I196"/>
      <c r="J196"/>
    </row>
    <row r="197" spans="2:10" x14ac:dyDescent="0.25">
      <c r="B197"/>
      <c r="C197"/>
      <c r="D197"/>
      <c r="E197"/>
      <c r="F197"/>
      <c r="G197"/>
      <c r="H197"/>
      <c r="I197"/>
      <c r="J197"/>
    </row>
    <row r="198" spans="2:10" x14ac:dyDescent="0.25">
      <c r="B198"/>
      <c r="C198"/>
      <c r="D198"/>
      <c r="E198"/>
      <c r="F198"/>
      <c r="G198"/>
      <c r="H198"/>
      <c r="I198"/>
      <c r="J198"/>
    </row>
    <row r="199" spans="2:10" x14ac:dyDescent="0.25">
      <c r="B199"/>
      <c r="C199"/>
      <c r="D199"/>
      <c r="E199"/>
      <c r="F199"/>
      <c r="G199"/>
      <c r="H199"/>
      <c r="I199"/>
      <c r="J199"/>
    </row>
    <row r="200" spans="2:10" x14ac:dyDescent="0.25">
      <c r="B200"/>
      <c r="C200"/>
      <c r="D200"/>
      <c r="E200"/>
      <c r="F200"/>
      <c r="G200"/>
      <c r="H200"/>
      <c r="I200"/>
      <c r="J200"/>
    </row>
    <row r="201" spans="2:10" x14ac:dyDescent="0.25">
      <c r="B201"/>
      <c r="C201"/>
      <c r="D201"/>
      <c r="E201"/>
      <c r="F201"/>
      <c r="G201"/>
      <c r="H201"/>
      <c r="I201"/>
      <c r="J201"/>
    </row>
    <row r="202" spans="2:10" x14ac:dyDescent="0.25">
      <c r="B202"/>
      <c r="C202"/>
      <c r="D202"/>
      <c r="E202"/>
      <c r="F202"/>
      <c r="G202"/>
      <c r="H202"/>
      <c r="I202"/>
      <c r="J202"/>
    </row>
    <row r="203" spans="2:10" x14ac:dyDescent="0.25">
      <c r="B203"/>
      <c r="C203"/>
      <c r="D203"/>
      <c r="E203"/>
      <c r="F203"/>
      <c r="G203"/>
      <c r="H203"/>
      <c r="I203"/>
      <c r="J203"/>
    </row>
    <row r="204" spans="2:10" x14ac:dyDescent="0.25">
      <c r="B204"/>
      <c r="C204"/>
      <c r="D204"/>
      <c r="E204"/>
      <c r="F204"/>
      <c r="G204"/>
      <c r="H204"/>
      <c r="I204"/>
      <c r="J204"/>
    </row>
    <row r="205" spans="2:10" x14ac:dyDescent="0.25">
      <c r="B205"/>
      <c r="C205"/>
      <c r="D205"/>
      <c r="E205"/>
      <c r="F205"/>
      <c r="G205"/>
      <c r="H205"/>
      <c r="I205"/>
      <c r="J205"/>
    </row>
    <row r="206" spans="2:10" x14ac:dyDescent="0.25">
      <c r="B206"/>
      <c r="C206"/>
      <c r="D206"/>
      <c r="E206"/>
      <c r="F206"/>
      <c r="G206"/>
      <c r="H206"/>
      <c r="I206"/>
      <c r="J206"/>
    </row>
    <row r="207" spans="2:10" x14ac:dyDescent="0.25">
      <c r="B207"/>
      <c r="C207"/>
      <c r="D207"/>
      <c r="E207"/>
      <c r="F207"/>
      <c r="G207"/>
      <c r="H207"/>
      <c r="I207"/>
      <c r="J207"/>
    </row>
    <row r="208" spans="2:10" x14ac:dyDescent="0.25">
      <c r="B208"/>
      <c r="C208"/>
      <c r="D208"/>
      <c r="E208"/>
      <c r="F208"/>
      <c r="G208"/>
      <c r="H208"/>
      <c r="I208"/>
      <c r="J208"/>
    </row>
    <row r="209" spans="2:10" x14ac:dyDescent="0.25">
      <c r="B209"/>
      <c r="C209"/>
      <c r="D209"/>
      <c r="E209"/>
      <c r="F209"/>
      <c r="G209"/>
      <c r="H209"/>
      <c r="I209"/>
      <c r="J209"/>
    </row>
    <row r="210" spans="2:10" x14ac:dyDescent="0.25">
      <c r="B210"/>
      <c r="C210"/>
      <c r="D210"/>
      <c r="E210"/>
      <c r="F210"/>
      <c r="G210"/>
      <c r="H210"/>
      <c r="I210"/>
      <c r="J210"/>
    </row>
    <row r="211" spans="2:10" x14ac:dyDescent="0.25">
      <c r="B211"/>
      <c r="C211"/>
      <c r="D211"/>
      <c r="E211"/>
      <c r="F211"/>
      <c r="G211"/>
      <c r="H211"/>
      <c r="I211"/>
      <c r="J211"/>
    </row>
    <row r="212" spans="2:10" x14ac:dyDescent="0.25">
      <c r="B212"/>
      <c r="C212"/>
      <c r="D212"/>
      <c r="E212"/>
      <c r="F212"/>
      <c r="G212"/>
      <c r="H212"/>
      <c r="I212"/>
      <c r="J212"/>
    </row>
    <row r="213" spans="2:10" x14ac:dyDescent="0.25">
      <c r="B213"/>
      <c r="C213"/>
      <c r="D213"/>
      <c r="E213"/>
      <c r="F213"/>
      <c r="G213"/>
      <c r="H213"/>
      <c r="I213"/>
      <c r="J213"/>
    </row>
    <row r="214" spans="2:10" x14ac:dyDescent="0.25">
      <c r="B214"/>
      <c r="C214"/>
      <c r="D214"/>
      <c r="E214"/>
      <c r="F214"/>
      <c r="G214"/>
      <c r="H214"/>
      <c r="I214"/>
      <c r="J214"/>
    </row>
    <row r="215" spans="2:10" x14ac:dyDescent="0.25">
      <c r="B215"/>
      <c r="C215"/>
      <c r="D215"/>
      <c r="E215"/>
      <c r="F215"/>
      <c r="G215"/>
      <c r="H215"/>
      <c r="I215"/>
      <c r="J215"/>
    </row>
    <row r="216" spans="2:10" x14ac:dyDescent="0.25">
      <c r="B216"/>
      <c r="C216"/>
      <c r="D216"/>
      <c r="E216"/>
      <c r="F216"/>
      <c r="G216"/>
      <c r="H216"/>
      <c r="I216"/>
      <c r="J216"/>
    </row>
    <row r="217" spans="2:10" x14ac:dyDescent="0.25">
      <c r="B217"/>
      <c r="C217"/>
      <c r="D217"/>
      <c r="E217"/>
      <c r="F217"/>
      <c r="G217"/>
      <c r="H217"/>
      <c r="I217"/>
      <c r="J217"/>
    </row>
    <row r="218" spans="2:10" x14ac:dyDescent="0.25">
      <c r="B218"/>
      <c r="C218"/>
      <c r="D218"/>
      <c r="E218"/>
      <c r="F218"/>
      <c r="G218"/>
      <c r="H218"/>
      <c r="I218"/>
      <c r="J218"/>
    </row>
    <row r="219" spans="2:10" x14ac:dyDescent="0.25">
      <c r="B219"/>
      <c r="C219"/>
      <c r="D219"/>
      <c r="E219"/>
      <c r="F219"/>
      <c r="G219"/>
      <c r="H219"/>
      <c r="I219"/>
      <c r="J219"/>
    </row>
    <row r="220" spans="2:10" x14ac:dyDescent="0.25">
      <c r="B220"/>
      <c r="C220"/>
      <c r="D220"/>
      <c r="E220"/>
      <c r="F220"/>
      <c r="G220"/>
      <c r="H220"/>
      <c r="I220"/>
      <c r="J220"/>
    </row>
    <row r="221" spans="2:10" x14ac:dyDescent="0.25">
      <c r="B221"/>
      <c r="C221"/>
      <c r="D221"/>
      <c r="E221"/>
      <c r="F221"/>
      <c r="G221"/>
      <c r="H221"/>
      <c r="I221"/>
      <c r="J221"/>
    </row>
    <row r="222" spans="2:10" x14ac:dyDescent="0.25">
      <c r="B222"/>
      <c r="C222"/>
      <c r="D222"/>
      <c r="E222"/>
      <c r="F222"/>
      <c r="G222"/>
      <c r="H222"/>
      <c r="I222"/>
      <c r="J222"/>
    </row>
    <row r="223" spans="2:10" x14ac:dyDescent="0.25">
      <c r="B223"/>
      <c r="C223"/>
      <c r="D223"/>
      <c r="E223"/>
      <c r="F223"/>
      <c r="G223"/>
      <c r="H223"/>
      <c r="I223"/>
      <c r="J223"/>
    </row>
    <row r="224" spans="2:10" x14ac:dyDescent="0.25">
      <c r="B224"/>
      <c r="C224"/>
      <c r="D224"/>
      <c r="E224"/>
      <c r="F224"/>
      <c r="G224"/>
      <c r="H224"/>
      <c r="I224"/>
      <c r="J224"/>
    </row>
    <row r="225" spans="2:10" x14ac:dyDescent="0.25">
      <c r="B225"/>
      <c r="C225"/>
      <c r="D225"/>
      <c r="E225"/>
      <c r="F225"/>
      <c r="G225"/>
      <c r="H225"/>
      <c r="I225"/>
      <c r="J225"/>
    </row>
    <row r="226" spans="2:10" x14ac:dyDescent="0.25">
      <c r="B226"/>
      <c r="C226"/>
      <c r="D226"/>
      <c r="E226"/>
      <c r="F226"/>
      <c r="G226"/>
      <c r="H226"/>
      <c r="I226"/>
      <c r="J226"/>
    </row>
    <row r="227" spans="2:10" x14ac:dyDescent="0.25">
      <c r="B227"/>
      <c r="C227"/>
      <c r="D227"/>
      <c r="E227"/>
      <c r="F227"/>
      <c r="G227"/>
      <c r="H227"/>
      <c r="I227"/>
      <c r="J227"/>
    </row>
    <row r="228" spans="2:10" x14ac:dyDescent="0.25">
      <c r="B228"/>
      <c r="C228"/>
      <c r="D228"/>
      <c r="E228"/>
      <c r="F228"/>
      <c r="G228"/>
      <c r="H228"/>
      <c r="I228"/>
      <c r="J228"/>
    </row>
    <row r="229" spans="2:10" x14ac:dyDescent="0.25">
      <c r="B229"/>
      <c r="C229"/>
      <c r="D229"/>
      <c r="E229"/>
      <c r="F229"/>
      <c r="G229"/>
      <c r="H229"/>
      <c r="I229"/>
      <c r="J229"/>
    </row>
    <row r="230" spans="2:10" x14ac:dyDescent="0.25">
      <c r="B230"/>
      <c r="C230"/>
      <c r="D230"/>
      <c r="E230"/>
      <c r="F230"/>
      <c r="G230"/>
      <c r="H230"/>
      <c r="I230"/>
      <c r="J230"/>
    </row>
    <row r="231" spans="2:10" x14ac:dyDescent="0.25">
      <c r="B231"/>
      <c r="C231"/>
      <c r="D231"/>
      <c r="E231"/>
      <c r="F231"/>
      <c r="G231"/>
      <c r="H231"/>
      <c r="I231"/>
      <c r="J231"/>
    </row>
    <row r="232" spans="2:10" x14ac:dyDescent="0.25">
      <c r="B232"/>
      <c r="C232"/>
      <c r="D232"/>
      <c r="E232"/>
      <c r="F232"/>
      <c r="G232"/>
      <c r="H232"/>
      <c r="I232"/>
      <c r="J232"/>
    </row>
    <row r="233" spans="2:10" x14ac:dyDescent="0.25">
      <c r="B233"/>
      <c r="C233"/>
      <c r="D233"/>
      <c r="E233"/>
      <c r="F233"/>
      <c r="G233"/>
      <c r="H233"/>
      <c r="I233"/>
      <c r="J233"/>
    </row>
    <row r="234" spans="2:10" x14ac:dyDescent="0.25">
      <c r="B234"/>
      <c r="C234"/>
      <c r="D234"/>
      <c r="E234"/>
      <c r="F234"/>
      <c r="G234"/>
      <c r="H234"/>
      <c r="I234"/>
      <c r="J234"/>
    </row>
    <row r="235" spans="2:10" x14ac:dyDescent="0.25">
      <c r="B235"/>
      <c r="C235"/>
      <c r="D235"/>
      <c r="E235"/>
      <c r="F235"/>
      <c r="G235"/>
      <c r="H235"/>
      <c r="I235"/>
      <c r="J235"/>
    </row>
    <row r="236" spans="2:10" x14ac:dyDescent="0.25">
      <c r="B236"/>
      <c r="C236"/>
      <c r="D236"/>
      <c r="E236"/>
      <c r="F236"/>
      <c r="G236"/>
      <c r="H236"/>
      <c r="I236"/>
      <c r="J236"/>
    </row>
    <row r="237" spans="2:10" x14ac:dyDescent="0.25">
      <c r="B237"/>
      <c r="C237"/>
      <c r="D237"/>
      <c r="E237"/>
      <c r="F237"/>
      <c r="G237"/>
      <c r="H237"/>
      <c r="I237"/>
      <c r="J237"/>
    </row>
    <row r="238" spans="2:10" x14ac:dyDescent="0.25">
      <c r="B238"/>
      <c r="C238"/>
      <c r="D238"/>
      <c r="E238"/>
      <c r="F238"/>
      <c r="G238"/>
      <c r="H238"/>
      <c r="I238"/>
      <c r="J238"/>
    </row>
    <row r="239" spans="2:10" x14ac:dyDescent="0.25">
      <c r="B239"/>
      <c r="C239"/>
      <c r="D239"/>
      <c r="E239"/>
      <c r="F239"/>
      <c r="G239"/>
      <c r="H239"/>
      <c r="I239"/>
      <c r="J239"/>
    </row>
    <row r="240" spans="2:10" x14ac:dyDescent="0.25">
      <c r="B240"/>
      <c r="C240"/>
      <c r="D240"/>
      <c r="E240"/>
      <c r="F240"/>
      <c r="G240"/>
      <c r="H240"/>
      <c r="I240"/>
      <c r="J240"/>
    </row>
    <row r="241" spans="2:10" x14ac:dyDescent="0.25">
      <c r="B241"/>
      <c r="C241"/>
      <c r="D241"/>
      <c r="E241"/>
      <c r="F241"/>
      <c r="G241"/>
      <c r="H241"/>
      <c r="I241"/>
      <c r="J241"/>
    </row>
    <row r="242" spans="2:10" x14ac:dyDescent="0.25">
      <c r="B242"/>
      <c r="C242"/>
      <c r="D242"/>
      <c r="E242"/>
      <c r="F242"/>
      <c r="G242"/>
      <c r="H242"/>
      <c r="I242"/>
      <c r="J242"/>
    </row>
    <row r="243" spans="2:10" x14ac:dyDescent="0.25">
      <c r="B243"/>
      <c r="C243"/>
      <c r="D243"/>
      <c r="E243"/>
      <c r="F243"/>
      <c r="G243"/>
      <c r="H243"/>
      <c r="I243"/>
      <c r="J243"/>
    </row>
    <row r="244" spans="2:10" x14ac:dyDescent="0.25">
      <c r="B244"/>
      <c r="C244"/>
      <c r="D244"/>
      <c r="E244"/>
      <c r="F244"/>
      <c r="G244"/>
      <c r="H244"/>
      <c r="I244"/>
      <c r="J244"/>
    </row>
    <row r="245" spans="2:10" x14ac:dyDescent="0.25">
      <c r="B245"/>
      <c r="C245"/>
      <c r="D245"/>
      <c r="E245"/>
      <c r="F245"/>
      <c r="G245"/>
      <c r="H245"/>
      <c r="I245"/>
      <c r="J245"/>
    </row>
    <row r="246" spans="2:10" x14ac:dyDescent="0.25">
      <c r="B246"/>
      <c r="C246"/>
      <c r="D246"/>
      <c r="E246"/>
      <c r="F246"/>
      <c r="G246"/>
      <c r="H246"/>
      <c r="I246"/>
      <c r="J246"/>
    </row>
    <row r="247" spans="2:10" x14ac:dyDescent="0.25">
      <c r="B247"/>
      <c r="C247"/>
      <c r="D247"/>
      <c r="E247"/>
      <c r="F247"/>
      <c r="G247"/>
      <c r="H247"/>
      <c r="I247"/>
      <c r="J247"/>
    </row>
    <row r="248" spans="2:10" x14ac:dyDescent="0.25">
      <c r="B248"/>
      <c r="C248"/>
      <c r="D248"/>
      <c r="E248"/>
      <c r="F248"/>
      <c r="G248"/>
      <c r="H248"/>
      <c r="I248"/>
      <c r="J248"/>
    </row>
    <row r="249" spans="2:10" x14ac:dyDescent="0.25">
      <c r="B249"/>
      <c r="C249"/>
      <c r="D249"/>
      <c r="E249"/>
      <c r="F249"/>
      <c r="G249"/>
      <c r="H249"/>
      <c r="I249"/>
      <c r="J249"/>
    </row>
    <row r="250" spans="2:10" x14ac:dyDescent="0.25">
      <c r="B250"/>
      <c r="C250"/>
      <c r="D250"/>
      <c r="E250"/>
      <c r="F250"/>
      <c r="G250"/>
      <c r="H250"/>
      <c r="I250"/>
      <c r="J250"/>
    </row>
    <row r="251" spans="2:10" x14ac:dyDescent="0.25">
      <c r="B251"/>
      <c r="C251"/>
      <c r="D251"/>
      <c r="E251"/>
      <c r="F251"/>
      <c r="G251"/>
      <c r="H251"/>
      <c r="I251"/>
      <c r="J251"/>
    </row>
    <row r="252" spans="2:10" x14ac:dyDescent="0.25">
      <c r="B252"/>
      <c r="C252"/>
      <c r="D252"/>
      <c r="E252"/>
      <c r="F252"/>
      <c r="G252"/>
      <c r="H252"/>
      <c r="I252"/>
      <c r="J252"/>
    </row>
    <row r="253" spans="2:10" x14ac:dyDescent="0.25">
      <c r="B253"/>
      <c r="C253"/>
      <c r="D253"/>
      <c r="E253"/>
      <c r="F253"/>
      <c r="G253"/>
      <c r="H253"/>
      <c r="I253"/>
      <c r="J253"/>
    </row>
    <row r="254" spans="2:10" x14ac:dyDescent="0.25">
      <c r="B254"/>
      <c r="C254"/>
      <c r="D254"/>
      <c r="E254"/>
      <c r="F254"/>
      <c r="G254"/>
      <c r="H254"/>
      <c r="I254"/>
      <c r="J254"/>
    </row>
    <row r="255" spans="2:10" x14ac:dyDescent="0.25">
      <c r="B255"/>
      <c r="C255"/>
      <c r="D255"/>
      <c r="E255"/>
      <c r="F255"/>
      <c r="G255"/>
      <c r="H255"/>
      <c r="I255"/>
      <c r="J255"/>
    </row>
    <row r="256" spans="2:10" x14ac:dyDescent="0.25">
      <c r="B256"/>
      <c r="C256"/>
      <c r="D256"/>
      <c r="E256"/>
      <c r="F256"/>
      <c r="G256"/>
      <c r="H256"/>
      <c r="I256"/>
      <c r="J256"/>
    </row>
    <row r="257" spans="2:10" x14ac:dyDescent="0.25">
      <c r="B257"/>
      <c r="C257"/>
      <c r="D257"/>
      <c r="E257"/>
      <c r="F257"/>
      <c r="G257"/>
      <c r="H257"/>
      <c r="I257"/>
      <c r="J257"/>
    </row>
    <row r="258" spans="2:10" x14ac:dyDescent="0.25">
      <c r="B258"/>
      <c r="C258"/>
      <c r="D258"/>
      <c r="E258"/>
      <c r="F258"/>
      <c r="G258"/>
      <c r="H258"/>
      <c r="I258"/>
      <c r="J258"/>
    </row>
    <row r="259" spans="2:10" x14ac:dyDescent="0.25">
      <c r="B259"/>
      <c r="C259"/>
      <c r="D259"/>
      <c r="E259"/>
      <c r="F259"/>
      <c r="G259"/>
      <c r="H259"/>
      <c r="I259"/>
      <c r="J259"/>
    </row>
    <row r="260" spans="2:10" x14ac:dyDescent="0.25">
      <c r="B260"/>
      <c r="C260"/>
      <c r="D260"/>
      <c r="E260"/>
      <c r="F260"/>
      <c r="G260"/>
      <c r="H260"/>
      <c r="I260"/>
      <c r="J260"/>
    </row>
    <row r="261" spans="2:10" x14ac:dyDescent="0.25">
      <c r="B261"/>
      <c r="C261"/>
      <c r="D261"/>
      <c r="E261"/>
      <c r="F261"/>
      <c r="G261"/>
      <c r="H261"/>
      <c r="I261"/>
      <c r="J261"/>
    </row>
    <row r="262" spans="2:10" x14ac:dyDescent="0.25">
      <c r="B262"/>
      <c r="C262"/>
      <c r="D262"/>
      <c r="E262"/>
      <c r="F262"/>
      <c r="G262"/>
      <c r="H262"/>
      <c r="I262"/>
      <c r="J262"/>
    </row>
    <row r="263" spans="2:10" x14ac:dyDescent="0.25">
      <c r="B263"/>
      <c r="C263"/>
      <c r="D263"/>
      <c r="E263"/>
      <c r="F263"/>
      <c r="G263"/>
      <c r="H263"/>
      <c r="I263"/>
      <c r="J263"/>
    </row>
    <row r="264" spans="2:10" x14ac:dyDescent="0.25">
      <c r="B264"/>
      <c r="C264"/>
      <c r="D264"/>
      <c r="E264"/>
      <c r="F264"/>
      <c r="G264"/>
      <c r="H264"/>
      <c r="I264"/>
      <c r="J264"/>
    </row>
    <row r="265" spans="2:10" x14ac:dyDescent="0.25">
      <c r="B265"/>
      <c r="C265"/>
      <c r="D265"/>
      <c r="E265"/>
      <c r="F265"/>
      <c r="G265"/>
      <c r="H265"/>
      <c r="I265"/>
      <c r="J265"/>
    </row>
    <row r="266" spans="2:10" x14ac:dyDescent="0.25">
      <c r="B266"/>
      <c r="C266"/>
      <c r="D266"/>
      <c r="E266"/>
      <c r="F266"/>
      <c r="G266"/>
      <c r="H266"/>
      <c r="I266"/>
      <c r="J266"/>
    </row>
    <row r="267" spans="2:10" x14ac:dyDescent="0.25">
      <c r="B267"/>
      <c r="C267"/>
      <c r="D267"/>
      <c r="E267"/>
      <c r="F267"/>
      <c r="G267"/>
      <c r="H267"/>
      <c r="I267"/>
      <c r="J267"/>
    </row>
    <row r="268" spans="2:10" x14ac:dyDescent="0.25">
      <c r="B268"/>
      <c r="C268"/>
      <c r="D268"/>
      <c r="E268"/>
      <c r="F268"/>
      <c r="G268"/>
      <c r="H268"/>
      <c r="I268"/>
      <c r="J268"/>
    </row>
    <row r="269" spans="2:10" x14ac:dyDescent="0.25">
      <c r="B269"/>
      <c r="C269"/>
      <c r="D269"/>
      <c r="E269"/>
      <c r="F269"/>
      <c r="G269"/>
      <c r="H269"/>
      <c r="I269"/>
      <c r="J269"/>
    </row>
    <row r="270" spans="2:10" x14ac:dyDescent="0.25">
      <c r="B270"/>
      <c r="C270"/>
      <c r="D270"/>
      <c r="E270"/>
      <c r="F270"/>
      <c r="G270"/>
      <c r="H270"/>
      <c r="I270"/>
      <c r="J270"/>
    </row>
    <row r="271" spans="2:10" x14ac:dyDescent="0.25">
      <c r="B271"/>
      <c r="C271"/>
      <c r="D271"/>
      <c r="E271"/>
      <c r="F271"/>
      <c r="G271"/>
      <c r="H271"/>
      <c r="I271"/>
      <c r="J271"/>
    </row>
    <row r="272" spans="2:10" x14ac:dyDescent="0.25">
      <c r="B272"/>
      <c r="C272"/>
      <c r="D272"/>
      <c r="E272"/>
      <c r="F272"/>
      <c r="G272"/>
      <c r="H272"/>
      <c r="I272"/>
      <c r="J272"/>
    </row>
    <row r="273" spans="2:10" x14ac:dyDescent="0.25">
      <c r="B273"/>
      <c r="C273"/>
      <c r="D273"/>
      <c r="E273"/>
      <c r="F273"/>
      <c r="G273"/>
      <c r="H273"/>
      <c r="I273"/>
      <c r="J273"/>
    </row>
    <row r="274" spans="2:10" x14ac:dyDescent="0.25">
      <c r="B274"/>
      <c r="C274"/>
      <c r="D274"/>
      <c r="E274"/>
      <c r="F274"/>
      <c r="G274"/>
      <c r="H274"/>
      <c r="I274"/>
      <c r="J274"/>
    </row>
    <row r="275" spans="2:10" x14ac:dyDescent="0.25">
      <c r="B275"/>
      <c r="C275"/>
      <c r="D275"/>
      <c r="E275"/>
      <c r="F275"/>
      <c r="G275"/>
      <c r="H275"/>
      <c r="I275"/>
      <c r="J275"/>
    </row>
    <row r="276" spans="2:10" x14ac:dyDescent="0.25">
      <c r="B276"/>
      <c r="C276"/>
      <c r="D276"/>
      <c r="E276"/>
      <c r="F276"/>
      <c r="G276"/>
      <c r="H276"/>
      <c r="I276"/>
      <c r="J276"/>
    </row>
    <row r="277" spans="2:10" x14ac:dyDescent="0.25">
      <c r="B277"/>
      <c r="C277"/>
      <c r="D277"/>
      <c r="E277"/>
      <c r="F277"/>
      <c r="G277"/>
      <c r="H277"/>
      <c r="I277"/>
      <c r="J277"/>
    </row>
    <row r="278" spans="2:10" x14ac:dyDescent="0.25">
      <c r="B278"/>
      <c r="C278"/>
      <c r="D278"/>
      <c r="E278"/>
      <c r="F278"/>
      <c r="G278"/>
      <c r="H278"/>
      <c r="I278"/>
      <c r="J278"/>
    </row>
    <row r="279" spans="2:10" x14ac:dyDescent="0.25">
      <c r="B279"/>
      <c r="C279"/>
      <c r="D279"/>
      <c r="E279"/>
      <c r="F279"/>
      <c r="G279"/>
      <c r="H279"/>
      <c r="I279"/>
      <c r="J279"/>
    </row>
    <row r="280" spans="2:10" x14ac:dyDescent="0.25">
      <c r="B280"/>
      <c r="C280"/>
      <c r="D280"/>
      <c r="E280"/>
      <c r="F280"/>
      <c r="G280"/>
      <c r="H280"/>
      <c r="I280"/>
      <c r="J280"/>
    </row>
    <row r="281" spans="2:10" x14ac:dyDescent="0.25">
      <c r="B281"/>
      <c r="C281"/>
      <c r="D281"/>
      <c r="E281"/>
      <c r="F281"/>
      <c r="G281"/>
      <c r="H281"/>
      <c r="I281"/>
      <c r="J281"/>
    </row>
    <row r="282" spans="2:10" x14ac:dyDescent="0.25">
      <c r="B282"/>
      <c r="C282"/>
      <c r="D282"/>
      <c r="E282"/>
      <c r="F282"/>
      <c r="G282"/>
      <c r="H282"/>
      <c r="I282"/>
      <c r="J282"/>
    </row>
    <row r="283" spans="2:10" x14ac:dyDescent="0.25">
      <c r="B283"/>
      <c r="C283"/>
      <c r="D283"/>
      <c r="E283"/>
      <c r="F283"/>
      <c r="G283"/>
      <c r="H283"/>
      <c r="I283"/>
      <c r="J283"/>
    </row>
    <row r="284" spans="2:10" x14ac:dyDescent="0.25">
      <c r="B284"/>
      <c r="C284"/>
      <c r="D284"/>
      <c r="E284"/>
      <c r="F284"/>
      <c r="G284"/>
      <c r="H284"/>
      <c r="I284"/>
      <c r="J284"/>
    </row>
    <row r="285" spans="2:10" x14ac:dyDescent="0.25">
      <c r="B285"/>
      <c r="C285"/>
      <c r="D285"/>
      <c r="E285"/>
      <c r="F285"/>
      <c r="G285"/>
      <c r="H285"/>
      <c r="I285"/>
      <c r="J285"/>
    </row>
    <row r="286" spans="2:10" x14ac:dyDescent="0.25">
      <c r="B286"/>
      <c r="C286"/>
      <c r="D286"/>
      <c r="E286"/>
      <c r="F286"/>
      <c r="G286"/>
      <c r="H286"/>
      <c r="I286"/>
      <c r="J286"/>
    </row>
    <row r="287" spans="2:10" x14ac:dyDescent="0.25">
      <c r="B287"/>
      <c r="C287"/>
      <c r="D287"/>
      <c r="E287"/>
      <c r="F287"/>
      <c r="G287"/>
      <c r="H287"/>
      <c r="I287"/>
      <c r="J287"/>
    </row>
    <row r="288" spans="2:10" x14ac:dyDescent="0.25">
      <c r="B288"/>
      <c r="C288"/>
      <c r="D288"/>
      <c r="E288"/>
      <c r="F288"/>
      <c r="G288"/>
      <c r="H288"/>
      <c r="I288"/>
      <c r="J288"/>
    </row>
    <row r="289" spans="2:10" x14ac:dyDescent="0.25">
      <c r="B289"/>
      <c r="C289"/>
      <c r="D289"/>
      <c r="E289"/>
      <c r="F289"/>
      <c r="G289"/>
      <c r="H289"/>
      <c r="I289"/>
      <c r="J289"/>
    </row>
    <row r="290" spans="2:10" x14ac:dyDescent="0.25">
      <c r="B290"/>
      <c r="C290"/>
      <c r="D290"/>
      <c r="E290"/>
      <c r="F290"/>
      <c r="G290"/>
      <c r="H290"/>
      <c r="I290"/>
      <c r="J290"/>
    </row>
    <row r="291" spans="2:10" x14ac:dyDescent="0.25">
      <c r="B291"/>
      <c r="C291"/>
      <c r="D291"/>
      <c r="E291"/>
      <c r="F291"/>
      <c r="G291"/>
      <c r="H291"/>
      <c r="I291"/>
      <c r="J291"/>
    </row>
    <row r="292" spans="2:10" x14ac:dyDescent="0.25">
      <c r="B292"/>
      <c r="C292"/>
      <c r="D292"/>
      <c r="E292"/>
      <c r="F292"/>
      <c r="G292"/>
      <c r="H292"/>
      <c r="I292"/>
      <c r="J292"/>
    </row>
    <row r="293" spans="2:10" x14ac:dyDescent="0.25">
      <c r="B293"/>
      <c r="C293"/>
      <c r="D293"/>
      <c r="E293"/>
      <c r="F293"/>
      <c r="G293"/>
      <c r="H293"/>
      <c r="I293"/>
      <c r="J293"/>
    </row>
    <row r="294" spans="2:10" x14ac:dyDescent="0.25">
      <c r="B294"/>
      <c r="C294"/>
      <c r="D294"/>
      <c r="E294"/>
      <c r="F294"/>
      <c r="G294"/>
      <c r="H294"/>
      <c r="I294"/>
      <c r="J294"/>
    </row>
    <row r="295" spans="2:10" x14ac:dyDescent="0.25">
      <c r="B295"/>
      <c r="C295"/>
      <c r="D295"/>
      <c r="E295"/>
      <c r="F295"/>
      <c r="G295"/>
      <c r="H295"/>
      <c r="I295"/>
      <c r="J295"/>
    </row>
    <row r="296" spans="2:10" x14ac:dyDescent="0.25">
      <c r="B296"/>
      <c r="C296"/>
      <c r="D296"/>
      <c r="E296"/>
      <c r="F296"/>
      <c r="G296"/>
      <c r="H296"/>
      <c r="I296"/>
      <c r="J296"/>
    </row>
    <row r="297" spans="2:10" x14ac:dyDescent="0.25">
      <c r="B297"/>
      <c r="C297"/>
      <c r="D297"/>
      <c r="E297"/>
      <c r="F297"/>
      <c r="G297"/>
      <c r="H297"/>
      <c r="I297"/>
      <c r="J297"/>
    </row>
    <row r="298" spans="2:10" x14ac:dyDescent="0.25">
      <c r="B298"/>
      <c r="C298"/>
      <c r="D298"/>
      <c r="E298"/>
      <c r="F298"/>
      <c r="G298"/>
      <c r="H298"/>
      <c r="I298"/>
      <c r="J298"/>
    </row>
    <row r="299" spans="2:10" x14ac:dyDescent="0.25">
      <c r="B299"/>
      <c r="C299"/>
      <c r="D299"/>
      <c r="E299"/>
      <c r="F299"/>
      <c r="G299"/>
      <c r="H299"/>
      <c r="I299"/>
      <c r="J299"/>
    </row>
    <row r="300" spans="2:10" x14ac:dyDescent="0.25">
      <c r="B300"/>
      <c r="C300"/>
      <c r="D300"/>
      <c r="E300"/>
      <c r="F300"/>
      <c r="G300"/>
      <c r="H300"/>
      <c r="I300"/>
      <c r="J300"/>
    </row>
    <row r="301" spans="2:10" x14ac:dyDescent="0.25">
      <c r="B301"/>
      <c r="C301"/>
      <c r="D301"/>
      <c r="E301"/>
      <c r="F301"/>
      <c r="G301"/>
      <c r="H301"/>
      <c r="I301"/>
      <c r="J301"/>
    </row>
    <row r="302" spans="2:10" x14ac:dyDescent="0.25">
      <c r="B302"/>
      <c r="C302"/>
      <c r="D302"/>
      <c r="E302"/>
      <c r="F302"/>
      <c r="G302"/>
      <c r="H302"/>
      <c r="I302"/>
      <c r="J302"/>
    </row>
    <row r="303" spans="2:10" x14ac:dyDescent="0.25">
      <c r="B303"/>
      <c r="C303"/>
      <c r="D303"/>
      <c r="E303"/>
      <c r="F303"/>
      <c r="G303"/>
      <c r="H303"/>
      <c r="I303"/>
      <c r="J303"/>
    </row>
    <row r="304" spans="2:10" x14ac:dyDescent="0.25">
      <c r="B304"/>
      <c r="C304"/>
      <c r="D304"/>
      <c r="E304"/>
      <c r="F304"/>
      <c r="G304"/>
      <c r="H304"/>
      <c r="I304"/>
      <c r="J304"/>
    </row>
    <row r="305" spans="2:10" x14ac:dyDescent="0.25">
      <c r="B305"/>
      <c r="C305"/>
      <c r="D305"/>
      <c r="E305"/>
      <c r="F305"/>
      <c r="G305"/>
      <c r="H305"/>
      <c r="I305"/>
      <c r="J305"/>
    </row>
    <row r="306" spans="2:10" x14ac:dyDescent="0.25">
      <c r="B306"/>
      <c r="C306"/>
      <c r="D306"/>
      <c r="E306"/>
      <c r="F306"/>
      <c r="G306"/>
      <c r="H306"/>
      <c r="I306"/>
      <c r="J306"/>
    </row>
    <row r="307" spans="2:10" x14ac:dyDescent="0.25">
      <c r="B307"/>
      <c r="C307"/>
      <c r="D307"/>
      <c r="E307"/>
      <c r="F307"/>
      <c r="G307"/>
      <c r="H307"/>
      <c r="I307"/>
      <c r="J307"/>
    </row>
    <row r="308" spans="2:10" x14ac:dyDescent="0.25">
      <c r="B308"/>
      <c r="C308"/>
      <c r="D308"/>
      <c r="E308"/>
      <c r="F308"/>
      <c r="G308"/>
      <c r="H308"/>
      <c r="I308"/>
      <c r="J308"/>
    </row>
    <row r="309" spans="2:10" x14ac:dyDescent="0.25">
      <c r="B309"/>
      <c r="C309"/>
      <c r="D309"/>
      <c r="E309"/>
      <c r="F309"/>
      <c r="G309"/>
      <c r="H309"/>
      <c r="I309"/>
      <c r="J309"/>
    </row>
    <row r="310" spans="2:10" x14ac:dyDescent="0.25">
      <c r="B310"/>
      <c r="C310"/>
      <c r="D310"/>
      <c r="E310"/>
      <c r="F310"/>
      <c r="G310"/>
      <c r="H310"/>
      <c r="I310"/>
      <c r="J310"/>
    </row>
    <row r="311" spans="2:10" x14ac:dyDescent="0.25">
      <c r="B311"/>
      <c r="C311"/>
      <c r="D311"/>
      <c r="E311"/>
      <c r="F311"/>
      <c r="G311"/>
      <c r="H311"/>
      <c r="I311"/>
      <c r="J311"/>
    </row>
    <row r="312" spans="2:10" x14ac:dyDescent="0.25">
      <c r="B312"/>
      <c r="C312"/>
      <c r="D312"/>
      <c r="E312"/>
      <c r="F312"/>
      <c r="G312"/>
      <c r="H312"/>
      <c r="I312"/>
      <c r="J312"/>
    </row>
    <row r="313" spans="2:10" x14ac:dyDescent="0.25">
      <c r="B313"/>
      <c r="C313"/>
      <c r="D313"/>
      <c r="E313"/>
      <c r="F313"/>
      <c r="G313"/>
      <c r="H313"/>
      <c r="I313"/>
      <c r="J313"/>
    </row>
    <row r="314" spans="2:10" x14ac:dyDescent="0.25">
      <c r="B314"/>
      <c r="C314"/>
      <c r="D314"/>
      <c r="E314"/>
      <c r="F314"/>
      <c r="G314"/>
      <c r="H314"/>
      <c r="I314"/>
      <c r="J314"/>
    </row>
    <row r="315" spans="2:10" x14ac:dyDescent="0.25">
      <c r="B315"/>
      <c r="C315"/>
      <c r="D315"/>
      <c r="E315"/>
      <c r="F315"/>
      <c r="G315"/>
      <c r="H315"/>
      <c r="I315"/>
      <c r="J315"/>
    </row>
    <row r="316" spans="2:10" x14ac:dyDescent="0.25">
      <c r="B316"/>
      <c r="C316"/>
      <c r="D316"/>
      <c r="E316"/>
      <c r="F316"/>
      <c r="G316"/>
      <c r="H316"/>
      <c r="I316"/>
      <c r="J316"/>
    </row>
    <row r="317" spans="2:10" x14ac:dyDescent="0.25">
      <c r="B317"/>
      <c r="C317"/>
      <c r="D317"/>
      <c r="E317"/>
      <c r="F317"/>
      <c r="G317"/>
      <c r="H317"/>
      <c r="I317"/>
      <c r="J317"/>
    </row>
    <row r="318" spans="2:10" x14ac:dyDescent="0.25">
      <c r="B318"/>
      <c r="C318"/>
      <c r="D318"/>
      <c r="E318"/>
      <c r="F318"/>
      <c r="G318"/>
      <c r="H318"/>
      <c r="I318"/>
      <c r="J318"/>
    </row>
    <row r="319" spans="2:10" x14ac:dyDescent="0.25">
      <c r="B319"/>
      <c r="C319"/>
      <c r="D319"/>
      <c r="E319"/>
      <c r="F319"/>
      <c r="G319"/>
      <c r="H319"/>
      <c r="I319"/>
      <c r="J319"/>
    </row>
    <row r="320" spans="2:10" x14ac:dyDescent="0.25">
      <c r="B320"/>
      <c r="C320"/>
      <c r="D320"/>
      <c r="E320"/>
      <c r="F320"/>
      <c r="G320"/>
      <c r="H320"/>
      <c r="I320"/>
      <c r="J320"/>
    </row>
    <row r="321" spans="2:10" x14ac:dyDescent="0.25">
      <c r="B321"/>
      <c r="C321"/>
      <c r="D321"/>
      <c r="E321"/>
      <c r="F321"/>
      <c r="G321"/>
      <c r="H321"/>
      <c r="I321"/>
      <c r="J321"/>
    </row>
    <row r="322" spans="2:10" x14ac:dyDescent="0.25">
      <c r="B322"/>
      <c r="C322"/>
      <c r="D322"/>
      <c r="E322"/>
      <c r="F322"/>
      <c r="G322"/>
      <c r="H322"/>
      <c r="I322"/>
      <c r="J322"/>
    </row>
    <row r="323" spans="2:10" x14ac:dyDescent="0.25">
      <c r="B323"/>
      <c r="C323"/>
      <c r="D323"/>
      <c r="E323"/>
      <c r="F323"/>
      <c r="G323"/>
      <c r="H323"/>
      <c r="I323"/>
      <c r="J323"/>
    </row>
    <row r="324" spans="2:10" x14ac:dyDescent="0.25">
      <c r="B324"/>
      <c r="C324"/>
      <c r="D324"/>
      <c r="E324"/>
      <c r="F324"/>
      <c r="G324"/>
      <c r="H324"/>
      <c r="I324"/>
      <c r="J324"/>
    </row>
    <row r="325" spans="2:10" x14ac:dyDescent="0.25">
      <c r="B325"/>
      <c r="C325"/>
      <c r="D325"/>
      <c r="E325"/>
      <c r="F325"/>
      <c r="G325"/>
      <c r="H325"/>
      <c r="I325"/>
      <c r="J325"/>
    </row>
    <row r="326" spans="2:10" x14ac:dyDescent="0.25">
      <c r="B326"/>
      <c r="C326"/>
      <c r="D326"/>
      <c r="E326"/>
      <c r="F326"/>
      <c r="G326"/>
      <c r="H326"/>
      <c r="I326"/>
      <c r="J326"/>
    </row>
    <row r="327" spans="2:10" x14ac:dyDescent="0.25">
      <c r="B327"/>
      <c r="C327"/>
      <c r="D327"/>
      <c r="E327"/>
      <c r="F327"/>
      <c r="G327"/>
      <c r="H327"/>
      <c r="I327"/>
      <c r="J327"/>
    </row>
    <row r="328" spans="2:10" x14ac:dyDescent="0.25">
      <c r="B328"/>
      <c r="C328"/>
      <c r="D328"/>
      <c r="E328"/>
      <c r="F328"/>
      <c r="G328"/>
      <c r="H328"/>
      <c r="I328"/>
      <c r="J328"/>
    </row>
    <row r="329" spans="2:10" x14ac:dyDescent="0.25">
      <c r="B329"/>
      <c r="C329"/>
      <c r="D329"/>
      <c r="E329"/>
      <c r="F329"/>
      <c r="G329"/>
      <c r="H329"/>
      <c r="I329"/>
      <c r="J329"/>
    </row>
    <row r="330" spans="2:10" x14ac:dyDescent="0.25">
      <c r="B330"/>
      <c r="C330"/>
      <c r="D330"/>
      <c r="E330"/>
      <c r="F330"/>
      <c r="G330"/>
      <c r="H330"/>
      <c r="I330"/>
      <c r="J330"/>
    </row>
    <row r="331" spans="2:10" x14ac:dyDescent="0.25">
      <c r="B331"/>
      <c r="C331"/>
      <c r="D331"/>
      <c r="E331"/>
      <c r="F331"/>
      <c r="G331"/>
      <c r="H331"/>
      <c r="I331"/>
      <c r="J331"/>
    </row>
    <row r="332" spans="2:10" x14ac:dyDescent="0.25">
      <c r="B332"/>
      <c r="C332"/>
      <c r="D332"/>
      <c r="E332"/>
      <c r="F332"/>
      <c r="G332"/>
      <c r="H332"/>
      <c r="I332"/>
      <c r="J332"/>
    </row>
    <row r="333" spans="2:10" x14ac:dyDescent="0.25">
      <c r="B333"/>
      <c r="C333"/>
      <c r="D333"/>
      <c r="E333"/>
      <c r="F333"/>
      <c r="G333"/>
      <c r="H333"/>
      <c r="I333"/>
      <c r="J333"/>
    </row>
    <row r="334" spans="2:10" x14ac:dyDescent="0.25">
      <c r="B334"/>
      <c r="C334"/>
      <c r="D334"/>
      <c r="E334"/>
      <c r="F334"/>
      <c r="G334"/>
      <c r="H334"/>
      <c r="I334"/>
      <c r="J334"/>
    </row>
    <row r="335" spans="2:10" x14ac:dyDescent="0.25">
      <c r="B335"/>
      <c r="C335"/>
      <c r="D335"/>
      <c r="E335"/>
      <c r="F335"/>
      <c r="G335"/>
      <c r="H335"/>
      <c r="I335"/>
      <c r="J335"/>
    </row>
    <row r="336" spans="2:10" x14ac:dyDescent="0.25">
      <c r="B336"/>
      <c r="C336"/>
      <c r="D336"/>
      <c r="E336"/>
      <c r="F336"/>
      <c r="G336"/>
      <c r="H336"/>
      <c r="I336"/>
      <c r="J336"/>
    </row>
    <row r="337" spans="2:10" x14ac:dyDescent="0.25">
      <c r="B337"/>
      <c r="C337"/>
      <c r="D337"/>
      <c r="E337"/>
      <c r="F337"/>
      <c r="G337"/>
      <c r="H337"/>
      <c r="I337"/>
      <c r="J337"/>
    </row>
    <row r="338" spans="2:10" x14ac:dyDescent="0.25">
      <c r="B338"/>
      <c r="C338"/>
      <c r="D338"/>
      <c r="E338"/>
      <c r="F338"/>
      <c r="G338"/>
      <c r="H338"/>
      <c r="I338"/>
      <c r="J338"/>
    </row>
    <row r="339" spans="2:10" x14ac:dyDescent="0.25">
      <c r="B339"/>
      <c r="C339"/>
      <c r="D339"/>
      <c r="E339"/>
      <c r="F339"/>
      <c r="G339"/>
      <c r="H339"/>
      <c r="I339"/>
      <c r="J339"/>
    </row>
    <row r="340" spans="2:10" x14ac:dyDescent="0.25">
      <c r="B340"/>
      <c r="C340"/>
      <c r="D340"/>
      <c r="E340"/>
      <c r="F340"/>
      <c r="G340"/>
      <c r="H340"/>
      <c r="I340"/>
      <c r="J340"/>
    </row>
    <row r="341" spans="2:10" x14ac:dyDescent="0.25">
      <c r="B341"/>
      <c r="C341"/>
      <c r="D341"/>
      <c r="E341"/>
      <c r="F341"/>
      <c r="G341"/>
      <c r="H341"/>
      <c r="I341"/>
      <c r="J341"/>
    </row>
    <row r="342" spans="2:10" x14ac:dyDescent="0.25">
      <c r="B342"/>
      <c r="C342"/>
      <c r="D342"/>
      <c r="E342"/>
      <c r="F342"/>
      <c r="G342"/>
      <c r="H342"/>
      <c r="I342"/>
      <c r="J342"/>
    </row>
    <row r="343" spans="2:10" x14ac:dyDescent="0.25">
      <c r="B343"/>
      <c r="C343"/>
      <c r="D343"/>
      <c r="E343"/>
      <c r="F343"/>
      <c r="G343"/>
      <c r="H343"/>
      <c r="I343"/>
      <c r="J343"/>
    </row>
    <row r="344" spans="2:10" x14ac:dyDescent="0.25">
      <c r="B344"/>
      <c r="C344"/>
      <c r="D344"/>
      <c r="E344"/>
      <c r="F344"/>
      <c r="G344"/>
      <c r="H344"/>
      <c r="I344"/>
      <c r="J344"/>
    </row>
    <row r="345" spans="2:10" x14ac:dyDescent="0.25">
      <c r="B345"/>
      <c r="C345"/>
      <c r="D345"/>
      <c r="E345"/>
      <c r="F345"/>
      <c r="G345"/>
      <c r="H345"/>
      <c r="I345"/>
      <c r="J345"/>
    </row>
    <row r="346" spans="2:10" x14ac:dyDescent="0.25">
      <c r="B346"/>
      <c r="C346"/>
      <c r="D346"/>
      <c r="E346"/>
      <c r="F346"/>
      <c r="G346"/>
      <c r="H346"/>
      <c r="I346"/>
      <c r="J346"/>
    </row>
    <row r="347" spans="2:10" x14ac:dyDescent="0.25">
      <c r="B347"/>
      <c r="C347"/>
      <c r="D347"/>
      <c r="E347"/>
      <c r="F347"/>
      <c r="G347"/>
      <c r="H347"/>
      <c r="I347"/>
      <c r="J347"/>
    </row>
    <row r="348" spans="2:10" x14ac:dyDescent="0.25">
      <c r="B348"/>
      <c r="C348"/>
      <c r="D348"/>
      <c r="E348"/>
      <c r="F348"/>
      <c r="G348"/>
      <c r="H348"/>
      <c r="I348"/>
      <c r="J348"/>
    </row>
    <row r="349" spans="2:10" x14ac:dyDescent="0.25">
      <c r="B349"/>
      <c r="C349"/>
      <c r="D349"/>
      <c r="E349"/>
      <c r="F349"/>
      <c r="G349"/>
      <c r="H349"/>
      <c r="I349"/>
      <c r="J349"/>
    </row>
    <row r="350" spans="2:10" x14ac:dyDescent="0.25">
      <c r="B350"/>
      <c r="C350"/>
      <c r="D350"/>
      <c r="E350"/>
      <c r="F350"/>
      <c r="G350"/>
      <c r="H350"/>
      <c r="I350"/>
      <c r="J350"/>
    </row>
    <row r="351" spans="2:10" x14ac:dyDescent="0.25">
      <c r="B351"/>
      <c r="C351"/>
      <c r="D351"/>
      <c r="E351"/>
      <c r="F351"/>
      <c r="G351"/>
      <c r="H351"/>
      <c r="I351"/>
      <c r="J351"/>
    </row>
    <row r="352" spans="2:10" x14ac:dyDescent="0.25">
      <c r="B352"/>
      <c r="C352"/>
      <c r="D352"/>
      <c r="E352"/>
      <c r="F352"/>
      <c r="G352"/>
      <c r="H352"/>
      <c r="I352"/>
      <c r="J352"/>
    </row>
    <row r="353" spans="2:10" x14ac:dyDescent="0.25">
      <c r="B353"/>
      <c r="C353"/>
      <c r="D353"/>
      <c r="E353"/>
      <c r="F353"/>
      <c r="G353"/>
      <c r="H353"/>
      <c r="I353"/>
      <c r="J353"/>
    </row>
    <row r="354" spans="2:10" x14ac:dyDescent="0.25">
      <c r="B354"/>
      <c r="C354"/>
      <c r="D354"/>
      <c r="E354"/>
      <c r="F354"/>
      <c r="G354"/>
      <c r="H354"/>
      <c r="I354"/>
      <c r="J354"/>
    </row>
    <row r="355" spans="2:10" x14ac:dyDescent="0.25">
      <c r="B355"/>
      <c r="C355"/>
      <c r="D355"/>
      <c r="E355"/>
      <c r="F355"/>
      <c r="G355"/>
      <c r="H355"/>
      <c r="I355"/>
      <c r="J355"/>
    </row>
    <row r="356" spans="2:10" x14ac:dyDescent="0.25">
      <c r="B356"/>
      <c r="C356"/>
      <c r="D356"/>
      <c r="E356"/>
      <c r="F356"/>
      <c r="G356"/>
      <c r="H356"/>
      <c r="I356"/>
      <c r="J356"/>
    </row>
    <row r="357" spans="2:10" x14ac:dyDescent="0.25">
      <c r="B357"/>
      <c r="C357"/>
      <c r="D357"/>
      <c r="E357"/>
      <c r="F357"/>
      <c r="G357"/>
      <c r="H357"/>
      <c r="I357"/>
      <c r="J357"/>
    </row>
    <row r="358" spans="2:10" x14ac:dyDescent="0.25">
      <c r="B358"/>
      <c r="C358"/>
      <c r="D358"/>
      <c r="E358"/>
      <c r="F358"/>
      <c r="G358"/>
      <c r="H358"/>
      <c r="I358"/>
      <c r="J358"/>
    </row>
    <row r="359" spans="2:10" x14ac:dyDescent="0.25">
      <c r="B359"/>
      <c r="C359"/>
      <c r="D359"/>
      <c r="E359"/>
      <c r="F359"/>
      <c r="G359"/>
      <c r="H359"/>
      <c r="I359"/>
      <c r="J359"/>
    </row>
    <row r="360" spans="2:10" x14ac:dyDescent="0.25">
      <c r="B360"/>
      <c r="C360"/>
      <c r="D360"/>
      <c r="E360"/>
      <c r="F360"/>
      <c r="G360"/>
      <c r="H360"/>
      <c r="I360"/>
      <c r="J360"/>
    </row>
    <row r="361" spans="2:10" x14ac:dyDescent="0.25">
      <c r="B361"/>
      <c r="C361"/>
      <c r="D361"/>
      <c r="E361"/>
      <c r="F361"/>
      <c r="G361"/>
      <c r="H361"/>
      <c r="I361"/>
      <c r="J361"/>
    </row>
    <row r="362" spans="2:10" x14ac:dyDescent="0.25">
      <c r="B362"/>
      <c r="C362"/>
      <c r="D362"/>
      <c r="E362"/>
      <c r="F362"/>
      <c r="G362"/>
      <c r="H362"/>
      <c r="I362"/>
      <c r="J362"/>
    </row>
    <row r="363" spans="2:10" x14ac:dyDescent="0.25">
      <c r="B363"/>
      <c r="C363"/>
      <c r="D363"/>
      <c r="E363"/>
      <c r="F363"/>
      <c r="G363"/>
      <c r="H363"/>
      <c r="I363"/>
      <c r="J363"/>
    </row>
    <row r="364" spans="2:10" x14ac:dyDescent="0.25">
      <c r="B364"/>
      <c r="C364"/>
      <c r="D364"/>
      <c r="E364"/>
      <c r="F364"/>
      <c r="G364"/>
      <c r="H364"/>
      <c r="I364"/>
      <c r="J364"/>
    </row>
    <row r="365" spans="2:10" x14ac:dyDescent="0.25">
      <c r="B365"/>
      <c r="C365"/>
      <c r="D365"/>
      <c r="E365"/>
      <c r="F365"/>
      <c r="G365"/>
      <c r="H365"/>
      <c r="I365"/>
      <c r="J365"/>
    </row>
    <row r="366" spans="2:10" x14ac:dyDescent="0.25">
      <c r="B366"/>
      <c r="C366"/>
      <c r="D366"/>
      <c r="E366"/>
      <c r="F366"/>
      <c r="G366"/>
      <c r="H366"/>
      <c r="I366"/>
      <c r="J366"/>
    </row>
    <row r="367" spans="2:10" x14ac:dyDescent="0.25">
      <c r="B367"/>
      <c r="C367"/>
      <c r="D367"/>
      <c r="E367"/>
      <c r="F367"/>
      <c r="G367"/>
      <c r="H367"/>
      <c r="I367"/>
      <c r="J367"/>
    </row>
    <row r="368" spans="2:10" x14ac:dyDescent="0.25">
      <c r="B368"/>
      <c r="C368"/>
      <c r="D368"/>
      <c r="E368"/>
      <c r="F368"/>
      <c r="G368"/>
      <c r="H368"/>
      <c r="I368"/>
      <c r="J368"/>
    </row>
    <row r="369" spans="2:10" x14ac:dyDescent="0.25">
      <c r="B369"/>
      <c r="C369"/>
      <c r="D369"/>
      <c r="E369"/>
      <c r="F369"/>
      <c r="G369"/>
      <c r="H369"/>
      <c r="I369"/>
      <c r="J369"/>
    </row>
    <row r="370" spans="2:10" x14ac:dyDescent="0.25">
      <c r="B370"/>
      <c r="C370"/>
      <c r="D370"/>
      <c r="E370"/>
      <c r="F370"/>
      <c r="G370"/>
      <c r="H370"/>
      <c r="I370"/>
      <c r="J370"/>
    </row>
    <row r="371" spans="2:10" x14ac:dyDescent="0.25">
      <c r="B371"/>
      <c r="C371"/>
      <c r="D371"/>
      <c r="E371"/>
      <c r="F371"/>
      <c r="G371"/>
      <c r="H371"/>
      <c r="I371"/>
      <c r="J371"/>
    </row>
    <row r="372" spans="2:10" x14ac:dyDescent="0.25">
      <c r="B372"/>
      <c r="C372"/>
      <c r="D372"/>
      <c r="E372"/>
      <c r="F372"/>
      <c r="G372"/>
      <c r="H372"/>
      <c r="I372"/>
      <c r="J372"/>
    </row>
    <row r="373" spans="2:10" x14ac:dyDescent="0.25">
      <c r="B373"/>
      <c r="C373"/>
      <c r="D373"/>
      <c r="E373"/>
      <c r="F373"/>
      <c r="G373"/>
      <c r="H373"/>
      <c r="I373"/>
      <c r="J373"/>
    </row>
    <row r="374" spans="2:10" x14ac:dyDescent="0.25">
      <c r="B374"/>
      <c r="C374"/>
      <c r="D374"/>
      <c r="E374"/>
      <c r="F374"/>
      <c r="G374"/>
      <c r="H374"/>
      <c r="I374"/>
      <c r="J374"/>
    </row>
    <row r="375" spans="2:10" x14ac:dyDescent="0.25">
      <c r="B375"/>
      <c r="C375"/>
      <c r="D375"/>
      <c r="E375"/>
      <c r="F375"/>
      <c r="G375"/>
      <c r="H375"/>
      <c r="I375"/>
      <c r="J375"/>
    </row>
    <row r="376" spans="2:10" x14ac:dyDescent="0.25">
      <c r="B376"/>
      <c r="C376"/>
      <c r="D376"/>
      <c r="E376"/>
      <c r="F376"/>
      <c r="G376"/>
      <c r="H376"/>
      <c r="I376"/>
      <c r="J376"/>
    </row>
    <row r="377" spans="2:10" x14ac:dyDescent="0.25">
      <c r="B377"/>
      <c r="C377"/>
      <c r="D377"/>
      <c r="E377"/>
      <c r="F377"/>
      <c r="G377"/>
      <c r="H377"/>
      <c r="I377"/>
      <c r="J377"/>
    </row>
    <row r="378" spans="2:10" x14ac:dyDescent="0.25">
      <c r="B378"/>
      <c r="C378"/>
      <c r="D378"/>
      <c r="E378"/>
      <c r="F378"/>
      <c r="G378"/>
      <c r="H378"/>
      <c r="I378"/>
      <c r="J378"/>
    </row>
    <row r="379" spans="2:10" x14ac:dyDescent="0.25">
      <c r="B379"/>
      <c r="C379"/>
      <c r="D379"/>
      <c r="E379"/>
      <c r="F379"/>
      <c r="G379"/>
      <c r="H379"/>
      <c r="I379"/>
      <c r="J379"/>
    </row>
    <row r="380" spans="2:10" x14ac:dyDescent="0.25">
      <c r="B380"/>
      <c r="C380"/>
      <c r="D380"/>
      <c r="E380"/>
      <c r="F380"/>
      <c r="G380"/>
      <c r="H380"/>
      <c r="I380"/>
      <c r="J380"/>
    </row>
    <row r="381" spans="2:10" x14ac:dyDescent="0.25">
      <c r="B381"/>
      <c r="C381"/>
      <c r="D381"/>
      <c r="E381"/>
      <c r="F381"/>
      <c r="G381"/>
      <c r="H381"/>
      <c r="I381"/>
      <c r="J381"/>
    </row>
    <row r="382" spans="2:10" x14ac:dyDescent="0.25">
      <c r="B382"/>
      <c r="C382"/>
      <c r="D382"/>
      <c r="E382"/>
      <c r="F382"/>
      <c r="G382"/>
      <c r="H382"/>
      <c r="I382"/>
      <c r="J382"/>
    </row>
    <row r="383" spans="2:10" x14ac:dyDescent="0.25">
      <c r="B383"/>
      <c r="C383"/>
      <c r="D383"/>
      <c r="E383"/>
      <c r="F383"/>
      <c r="G383"/>
      <c r="H383"/>
      <c r="I383"/>
      <c r="J383"/>
    </row>
    <row r="384" spans="2:10" x14ac:dyDescent="0.25">
      <c r="B384"/>
      <c r="C384"/>
      <c r="D384"/>
      <c r="E384"/>
      <c r="F384"/>
      <c r="G384"/>
      <c r="H384"/>
      <c r="I384"/>
      <c r="J384"/>
    </row>
    <row r="385" spans="2:10" x14ac:dyDescent="0.25">
      <c r="B385"/>
      <c r="C385"/>
      <c r="D385"/>
      <c r="E385"/>
      <c r="F385"/>
      <c r="G385"/>
      <c r="H385"/>
      <c r="I385"/>
      <c r="J385"/>
    </row>
    <row r="386" spans="2:10" x14ac:dyDescent="0.25">
      <c r="B386"/>
      <c r="C386"/>
      <c r="D386"/>
      <c r="E386"/>
      <c r="F386"/>
      <c r="G386"/>
      <c r="H386"/>
      <c r="I386"/>
      <c r="J386"/>
    </row>
    <row r="387" spans="2:10" x14ac:dyDescent="0.25">
      <c r="B387"/>
      <c r="C387"/>
      <c r="D387"/>
      <c r="E387"/>
      <c r="F387"/>
      <c r="G387"/>
      <c r="H387"/>
      <c r="I387"/>
      <c r="J387"/>
    </row>
    <row r="388" spans="2:10" x14ac:dyDescent="0.25">
      <c r="B388"/>
      <c r="C388"/>
      <c r="D388"/>
      <c r="E388"/>
      <c r="F388"/>
      <c r="G388"/>
      <c r="H388"/>
      <c r="I388"/>
      <c r="J388"/>
    </row>
    <row r="389" spans="2:10" x14ac:dyDescent="0.25">
      <c r="B389"/>
      <c r="C389"/>
      <c r="D389"/>
      <c r="E389"/>
      <c r="F389"/>
      <c r="G389"/>
      <c r="H389"/>
      <c r="I389"/>
      <c r="J389"/>
    </row>
    <row r="390" spans="2:10" x14ac:dyDescent="0.25">
      <c r="B390"/>
      <c r="C390"/>
      <c r="D390"/>
      <c r="E390"/>
      <c r="F390"/>
      <c r="G390"/>
      <c r="H390"/>
      <c r="I390"/>
      <c r="J390"/>
    </row>
    <row r="391" spans="2:10" x14ac:dyDescent="0.25">
      <c r="B391"/>
      <c r="C391"/>
      <c r="D391"/>
      <c r="E391"/>
      <c r="F391"/>
      <c r="G391"/>
      <c r="H391"/>
      <c r="I391"/>
      <c r="J391"/>
    </row>
    <row r="392" spans="2:10" x14ac:dyDescent="0.25">
      <c r="B392"/>
      <c r="C392"/>
      <c r="D392"/>
      <c r="E392"/>
      <c r="F392"/>
      <c r="G392"/>
      <c r="H392"/>
      <c r="I392"/>
      <c r="J392"/>
    </row>
    <row r="393" spans="2:10" x14ac:dyDescent="0.25">
      <c r="B393"/>
      <c r="C393"/>
      <c r="D393"/>
      <c r="E393"/>
      <c r="F393"/>
      <c r="G393"/>
      <c r="H393"/>
      <c r="I393"/>
      <c r="J393"/>
    </row>
    <row r="394" spans="2:10" x14ac:dyDescent="0.25">
      <c r="B394"/>
      <c r="C394"/>
      <c r="D394"/>
      <c r="E394"/>
      <c r="F394"/>
      <c r="G394"/>
      <c r="H394"/>
      <c r="I394"/>
      <c r="J394"/>
    </row>
    <row r="395" spans="2:10" x14ac:dyDescent="0.25">
      <c r="B395"/>
      <c r="C395"/>
      <c r="D395"/>
      <c r="E395"/>
      <c r="F395"/>
      <c r="G395"/>
      <c r="H395"/>
      <c r="I395"/>
      <c r="J395"/>
    </row>
    <row r="396" spans="2:10" x14ac:dyDescent="0.25">
      <c r="B396"/>
      <c r="C396"/>
      <c r="D396"/>
      <c r="E396"/>
      <c r="F396"/>
      <c r="G396"/>
      <c r="H396"/>
      <c r="I396"/>
      <c r="J396"/>
    </row>
    <row r="397" spans="2:10" x14ac:dyDescent="0.25">
      <c r="B397"/>
      <c r="C397"/>
      <c r="D397"/>
      <c r="E397"/>
      <c r="F397"/>
      <c r="G397"/>
      <c r="H397"/>
      <c r="I397"/>
      <c r="J397"/>
    </row>
    <row r="398" spans="2:10" x14ac:dyDescent="0.25">
      <c r="B398"/>
      <c r="C398"/>
      <c r="D398"/>
      <c r="E398"/>
      <c r="F398"/>
      <c r="G398"/>
      <c r="H398"/>
      <c r="I398"/>
      <c r="J398"/>
    </row>
    <row r="399" spans="2:10" x14ac:dyDescent="0.25">
      <c r="B399"/>
      <c r="C399"/>
      <c r="D399"/>
      <c r="E399"/>
      <c r="F399"/>
      <c r="G399"/>
      <c r="H399"/>
      <c r="I399"/>
      <c r="J399"/>
    </row>
    <row r="400" spans="2:10" x14ac:dyDescent="0.25">
      <c r="B400"/>
      <c r="C400"/>
      <c r="D400"/>
      <c r="E400"/>
      <c r="F400"/>
      <c r="G400"/>
      <c r="H400"/>
      <c r="I400"/>
      <c r="J400"/>
    </row>
    <row r="401" spans="2:10" x14ac:dyDescent="0.25">
      <c r="B401"/>
      <c r="C401"/>
      <c r="D401"/>
      <c r="E401"/>
      <c r="F401"/>
      <c r="G401"/>
      <c r="H401"/>
      <c r="I401"/>
      <c r="J401"/>
    </row>
    <row r="402" spans="2:10" x14ac:dyDescent="0.25">
      <c r="B402"/>
      <c r="C402"/>
      <c r="D402"/>
      <c r="E402"/>
      <c r="F402"/>
      <c r="G402"/>
      <c r="H402"/>
      <c r="I402"/>
      <c r="J402"/>
    </row>
    <row r="403" spans="2:10" x14ac:dyDescent="0.25">
      <c r="B403"/>
      <c r="C403"/>
      <c r="D403"/>
      <c r="E403"/>
      <c r="F403"/>
      <c r="G403"/>
      <c r="H403"/>
      <c r="I403"/>
      <c r="J403"/>
    </row>
    <row r="404" spans="2:10" x14ac:dyDescent="0.25">
      <c r="B404"/>
      <c r="C404"/>
      <c r="D404"/>
      <c r="E404"/>
      <c r="F404"/>
      <c r="G404"/>
      <c r="H404"/>
      <c r="I404"/>
      <c r="J404"/>
    </row>
    <row r="405" spans="2:10" x14ac:dyDescent="0.25">
      <c r="B405"/>
      <c r="C405"/>
      <c r="D405"/>
      <c r="E405"/>
      <c r="F405"/>
      <c r="G405"/>
      <c r="H405"/>
    </row>
    <row r="406" spans="2:10" x14ac:dyDescent="0.25">
      <c r="B406"/>
      <c r="C406"/>
      <c r="D406"/>
      <c r="E406"/>
      <c r="F406"/>
      <c r="G406"/>
      <c r="H406"/>
    </row>
    <row r="407" spans="2:10" x14ac:dyDescent="0.25">
      <c r="B407"/>
      <c r="C407"/>
      <c r="D407"/>
      <c r="E407"/>
      <c r="F407"/>
      <c r="G407"/>
      <c r="H407"/>
    </row>
    <row r="408" spans="2:10" x14ac:dyDescent="0.25">
      <c r="B408"/>
      <c r="C408"/>
      <c r="D408"/>
      <c r="E408"/>
      <c r="F408"/>
      <c r="G408"/>
      <c r="H408"/>
    </row>
    <row r="409" spans="2:10" x14ac:dyDescent="0.25">
      <c r="B409"/>
      <c r="C409"/>
      <c r="D409"/>
      <c r="E409"/>
      <c r="F409"/>
      <c r="G409"/>
      <c r="H409"/>
    </row>
    <row r="410" spans="2:10" x14ac:dyDescent="0.25">
      <c r="B410"/>
      <c r="C410"/>
      <c r="D410"/>
      <c r="E410"/>
      <c r="F410"/>
      <c r="G410"/>
      <c r="H410"/>
    </row>
    <row r="411" spans="2:10" x14ac:dyDescent="0.25">
      <c r="B411"/>
      <c r="C411"/>
      <c r="D411"/>
      <c r="E411"/>
      <c r="F411"/>
      <c r="G411"/>
      <c r="H411"/>
    </row>
    <row r="412" spans="2:10" x14ac:dyDescent="0.25">
      <c r="B412"/>
      <c r="C412"/>
      <c r="D412"/>
      <c r="E412"/>
      <c r="F412"/>
      <c r="G412"/>
      <c r="H412"/>
    </row>
    <row r="413" spans="2:10" x14ac:dyDescent="0.25">
      <c r="B413"/>
      <c r="C413"/>
      <c r="D413"/>
      <c r="E413"/>
      <c r="F413"/>
      <c r="G413"/>
      <c r="H413"/>
    </row>
    <row r="414" spans="2:10" x14ac:dyDescent="0.25">
      <c r="B414"/>
      <c r="C414"/>
      <c r="D414"/>
      <c r="E414"/>
      <c r="F414"/>
      <c r="G414"/>
      <c r="H414"/>
    </row>
    <row r="415" spans="2:10" x14ac:dyDescent="0.25">
      <c r="B415"/>
      <c r="C415"/>
      <c r="D415"/>
      <c r="E415"/>
      <c r="F415"/>
      <c r="G415"/>
      <c r="H415"/>
    </row>
    <row r="416" spans="2:10" x14ac:dyDescent="0.25">
      <c r="B416"/>
      <c r="C416"/>
      <c r="D416"/>
      <c r="E416"/>
      <c r="F416"/>
      <c r="G416"/>
      <c r="H416"/>
    </row>
    <row r="417" spans="2:8" x14ac:dyDescent="0.25">
      <c r="B417"/>
      <c r="C417"/>
      <c r="D417"/>
      <c r="E417"/>
      <c r="F417"/>
      <c r="G417"/>
      <c r="H417"/>
    </row>
    <row r="418" spans="2:8" x14ac:dyDescent="0.25">
      <c r="B418"/>
      <c r="C418"/>
      <c r="D418"/>
      <c r="E418"/>
      <c r="F418"/>
      <c r="G418"/>
      <c r="H418"/>
    </row>
    <row r="419" spans="2:8" x14ac:dyDescent="0.25">
      <c r="B419"/>
      <c r="C419"/>
      <c r="D419"/>
      <c r="E419"/>
      <c r="F419"/>
      <c r="G419"/>
      <c r="H419"/>
    </row>
    <row r="420" spans="2:8" x14ac:dyDescent="0.25">
      <c r="B420"/>
      <c r="C420"/>
      <c r="D420"/>
      <c r="E420"/>
      <c r="F420"/>
      <c r="G420"/>
      <c r="H420"/>
    </row>
    <row r="421" spans="2:8" x14ac:dyDescent="0.25">
      <c r="B421"/>
      <c r="C421"/>
      <c r="D421"/>
      <c r="E421"/>
      <c r="F421"/>
      <c r="G421"/>
      <c r="H421"/>
    </row>
    <row r="422" spans="2:8" x14ac:dyDescent="0.25">
      <c r="B422"/>
      <c r="C422"/>
      <c r="D422"/>
      <c r="E422"/>
      <c r="F422"/>
      <c r="G422"/>
      <c r="H422"/>
    </row>
    <row r="423" spans="2:8" x14ac:dyDescent="0.25">
      <c r="B423"/>
      <c r="C423"/>
      <c r="D423"/>
      <c r="E423"/>
      <c r="F423"/>
      <c r="G423"/>
      <c r="H423"/>
    </row>
    <row r="424" spans="2:8" x14ac:dyDescent="0.25">
      <c r="B424"/>
      <c r="C424"/>
      <c r="D424"/>
      <c r="E424"/>
      <c r="F424"/>
      <c r="G424"/>
      <c r="H424"/>
    </row>
    <row r="425" spans="2:8" x14ac:dyDescent="0.25">
      <c r="B425"/>
      <c r="C425"/>
      <c r="D425"/>
      <c r="E425"/>
      <c r="F425"/>
      <c r="G425"/>
      <c r="H425"/>
    </row>
    <row r="426" spans="2:8" x14ac:dyDescent="0.25">
      <c r="B426"/>
      <c r="C426"/>
      <c r="D426"/>
      <c r="E426"/>
      <c r="F426"/>
      <c r="G426"/>
      <c r="H426"/>
    </row>
    <row r="427" spans="2:8" x14ac:dyDescent="0.25">
      <c r="B427"/>
      <c r="C427"/>
      <c r="D427"/>
      <c r="E427"/>
      <c r="F427"/>
      <c r="G427"/>
      <c r="H427"/>
    </row>
    <row r="428" spans="2:8" x14ac:dyDescent="0.25">
      <c r="B428"/>
      <c r="C428"/>
      <c r="D428"/>
      <c r="E428"/>
      <c r="F428"/>
      <c r="G428"/>
      <c r="H428"/>
    </row>
    <row r="429" spans="2:8" x14ac:dyDescent="0.25">
      <c r="B429"/>
      <c r="C429"/>
      <c r="D429"/>
      <c r="E429"/>
      <c r="F429"/>
      <c r="G429"/>
      <c r="H429"/>
    </row>
    <row r="430" spans="2:8" x14ac:dyDescent="0.25">
      <c r="B430"/>
      <c r="C430"/>
      <c r="D430"/>
      <c r="E430"/>
      <c r="F430"/>
      <c r="G430"/>
      <c r="H430"/>
    </row>
    <row r="431" spans="2:8" x14ac:dyDescent="0.25">
      <c r="B431"/>
      <c r="C431"/>
      <c r="D431"/>
      <c r="E431"/>
      <c r="F431"/>
      <c r="G431"/>
      <c r="H431"/>
    </row>
    <row r="432" spans="2:8" x14ac:dyDescent="0.25">
      <c r="B432"/>
      <c r="C432"/>
      <c r="D432"/>
      <c r="E432"/>
      <c r="F432"/>
      <c r="G432"/>
      <c r="H432"/>
    </row>
    <row r="433" spans="2:8" x14ac:dyDescent="0.25">
      <c r="B433"/>
      <c r="C433"/>
      <c r="D433"/>
      <c r="E433"/>
      <c r="F433"/>
      <c r="G433"/>
      <c r="H433"/>
    </row>
    <row r="434" spans="2:8" x14ac:dyDescent="0.25">
      <c r="B434"/>
      <c r="C434"/>
      <c r="D434"/>
      <c r="E434"/>
      <c r="F434"/>
      <c r="G434"/>
      <c r="H434"/>
    </row>
    <row r="435" spans="2:8" x14ac:dyDescent="0.25">
      <c r="B435"/>
      <c r="C435"/>
      <c r="D435"/>
      <c r="E435"/>
      <c r="F435"/>
      <c r="G435"/>
      <c r="H435"/>
    </row>
    <row r="436" spans="2:8" x14ac:dyDescent="0.25">
      <c r="B436"/>
      <c r="C436"/>
      <c r="D436"/>
      <c r="E436"/>
      <c r="F436"/>
      <c r="G436"/>
      <c r="H436"/>
    </row>
    <row r="437" spans="2:8" x14ac:dyDescent="0.25">
      <c r="B437"/>
      <c r="C437"/>
      <c r="D437"/>
      <c r="E437"/>
      <c r="F437"/>
      <c r="G437"/>
      <c r="H437"/>
    </row>
    <row r="438" spans="2:8" x14ac:dyDescent="0.25">
      <c r="B438"/>
      <c r="C438"/>
      <c r="D438"/>
      <c r="E438"/>
      <c r="F438"/>
      <c r="G438"/>
      <c r="H438"/>
    </row>
    <row r="439" spans="2:8" x14ac:dyDescent="0.25">
      <c r="B439"/>
      <c r="C439"/>
      <c r="D439"/>
      <c r="E439"/>
      <c r="F439"/>
      <c r="G439"/>
      <c r="H439"/>
    </row>
    <row r="440" spans="2:8" x14ac:dyDescent="0.25">
      <c r="B440"/>
      <c r="C440"/>
      <c r="D440"/>
      <c r="E440"/>
      <c r="F440"/>
      <c r="G440"/>
      <c r="H440"/>
    </row>
    <row r="441" spans="2:8" x14ac:dyDescent="0.25">
      <c r="B441"/>
      <c r="C441"/>
      <c r="D441"/>
      <c r="E441"/>
      <c r="F441"/>
      <c r="G441"/>
      <c r="H441"/>
    </row>
    <row r="442" spans="2:8" x14ac:dyDescent="0.25">
      <c r="B442"/>
      <c r="C442"/>
      <c r="D442"/>
      <c r="E442"/>
      <c r="F442"/>
      <c r="G442"/>
      <c r="H442"/>
    </row>
    <row r="443" spans="2:8" x14ac:dyDescent="0.25">
      <c r="B443"/>
      <c r="C443"/>
      <c r="D443"/>
      <c r="E443"/>
      <c r="F443"/>
      <c r="G443"/>
      <c r="H443"/>
    </row>
    <row r="444" spans="2:8" x14ac:dyDescent="0.25">
      <c r="B444"/>
      <c r="C444"/>
      <c r="D444"/>
      <c r="E444"/>
      <c r="F444"/>
      <c r="G444"/>
      <c r="H444"/>
    </row>
    <row r="445" spans="2:8" x14ac:dyDescent="0.25">
      <c r="B445"/>
      <c r="C445"/>
      <c r="D445"/>
      <c r="E445"/>
      <c r="F445"/>
      <c r="G445"/>
      <c r="H445"/>
    </row>
    <row r="446" spans="2:8" x14ac:dyDescent="0.25">
      <c r="B446"/>
      <c r="C446"/>
      <c r="D446"/>
      <c r="E446"/>
      <c r="F446"/>
      <c r="G446"/>
      <c r="H446"/>
    </row>
    <row r="447" spans="2:8" x14ac:dyDescent="0.25">
      <c r="B447"/>
      <c r="C447"/>
      <c r="D447"/>
      <c r="E447"/>
      <c r="F447"/>
      <c r="G447"/>
      <c r="H447"/>
    </row>
    <row r="448" spans="2:8" x14ac:dyDescent="0.25">
      <c r="B448"/>
      <c r="C448"/>
      <c r="D448"/>
      <c r="E448"/>
      <c r="F448"/>
      <c r="G448"/>
      <c r="H448"/>
    </row>
    <row r="449" spans="2:8" x14ac:dyDescent="0.25">
      <c r="B449"/>
      <c r="C449"/>
      <c r="D449"/>
      <c r="E449"/>
      <c r="F449"/>
      <c r="G449"/>
      <c r="H449"/>
    </row>
    <row r="450" spans="2:8" x14ac:dyDescent="0.25">
      <c r="B450"/>
      <c r="C450"/>
      <c r="D450"/>
      <c r="E450"/>
      <c r="F450"/>
      <c r="G450"/>
      <c r="H450"/>
    </row>
    <row r="451" spans="2:8" x14ac:dyDescent="0.25">
      <c r="B451"/>
      <c r="C451"/>
      <c r="D451"/>
      <c r="E451"/>
      <c r="F451"/>
      <c r="G451"/>
      <c r="H451"/>
    </row>
    <row r="452" spans="2:8" x14ac:dyDescent="0.25">
      <c r="B452"/>
      <c r="C452"/>
      <c r="D452"/>
      <c r="E452"/>
      <c r="F452"/>
      <c r="G452"/>
      <c r="H452"/>
    </row>
    <row r="453" spans="2:8" x14ac:dyDescent="0.25">
      <c r="B453"/>
      <c r="C453"/>
      <c r="D453"/>
      <c r="E453"/>
      <c r="F453"/>
      <c r="G453"/>
      <c r="H453"/>
    </row>
    <row r="454" spans="2:8" x14ac:dyDescent="0.25">
      <c r="B454"/>
      <c r="C454"/>
      <c r="D454"/>
      <c r="E454"/>
      <c r="F454"/>
      <c r="G454"/>
      <c r="H454"/>
    </row>
    <row r="455" spans="2:8" x14ac:dyDescent="0.25">
      <c r="B455"/>
      <c r="C455"/>
      <c r="D455"/>
      <c r="E455"/>
      <c r="F455"/>
      <c r="G455"/>
      <c r="H455"/>
    </row>
    <row r="456" spans="2:8" x14ac:dyDescent="0.25">
      <c r="B456"/>
      <c r="C456"/>
      <c r="D456"/>
      <c r="E456"/>
      <c r="F456"/>
      <c r="G456"/>
      <c r="H456"/>
    </row>
    <row r="457" spans="2:8" x14ac:dyDescent="0.25">
      <c r="B457"/>
      <c r="C457"/>
      <c r="D457"/>
      <c r="E457"/>
      <c r="F457"/>
      <c r="G457"/>
      <c r="H457"/>
    </row>
    <row r="458" spans="2:8" x14ac:dyDescent="0.25">
      <c r="B458"/>
      <c r="C458"/>
      <c r="D458"/>
      <c r="E458"/>
      <c r="F458"/>
      <c r="G458"/>
      <c r="H458"/>
    </row>
    <row r="459" spans="2:8" x14ac:dyDescent="0.25">
      <c r="B459"/>
      <c r="C459"/>
      <c r="D459"/>
      <c r="E459"/>
      <c r="F459"/>
      <c r="G459"/>
      <c r="H459"/>
    </row>
    <row r="460" spans="2:8" x14ac:dyDescent="0.25">
      <c r="B460"/>
      <c r="C460"/>
      <c r="D460"/>
      <c r="E460"/>
      <c r="F460"/>
      <c r="G460"/>
      <c r="H460"/>
    </row>
    <row r="461" spans="2:8" x14ac:dyDescent="0.25">
      <c r="B461"/>
      <c r="C461"/>
      <c r="D461"/>
      <c r="E461"/>
      <c r="F461"/>
      <c r="G461"/>
      <c r="H461"/>
    </row>
    <row r="462" spans="2:8" x14ac:dyDescent="0.25">
      <c r="B462"/>
      <c r="C462"/>
      <c r="D462"/>
      <c r="E462"/>
      <c r="F462"/>
      <c r="G462"/>
      <c r="H462"/>
    </row>
    <row r="463" spans="2:8" x14ac:dyDescent="0.25">
      <c r="B463"/>
      <c r="C463"/>
      <c r="D463"/>
      <c r="E463"/>
      <c r="F463"/>
      <c r="G463"/>
      <c r="H463"/>
    </row>
    <row r="464" spans="2:8" x14ac:dyDescent="0.25">
      <c r="B464"/>
      <c r="C464"/>
      <c r="D464"/>
      <c r="E464"/>
      <c r="F464"/>
      <c r="G464"/>
      <c r="H464"/>
    </row>
    <row r="465" spans="2:8" x14ac:dyDescent="0.25">
      <c r="B465"/>
      <c r="C465"/>
      <c r="D465"/>
      <c r="E465"/>
      <c r="F465"/>
      <c r="G465"/>
      <c r="H465"/>
    </row>
    <row r="466" spans="2:8" x14ac:dyDescent="0.25">
      <c r="B466"/>
      <c r="C466"/>
      <c r="D466"/>
      <c r="E466"/>
      <c r="F466"/>
      <c r="G466"/>
      <c r="H466"/>
    </row>
    <row r="467" spans="2:8" x14ac:dyDescent="0.25">
      <c r="B467"/>
      <c r="C467"/>
      <c r="D467"/>
      <c r="E467"/>
      <c r="F467"/>
      <c r="G467"/>
      <c r="H467"/>
    </row>
    <row r="468" spans="2:8" x14ac:dyDescent="0.25">
      <c r="B468"/>
      <c r="C468"/>
      <c r="D468"/>
      <c r="E468"/>
      <c r="F468"/>
      <c r="G468"/>
      <c r="H468"/>
    </row>
    <row r="469" spans="2:8" x14ac:dyDescent="0.25">
      <c r="B469"/>
      <c r="C469"/>
      <c r="D469" s="35"/>
      <c r="E469" s="35"/>
      <c r="F469" s="35"/>
      <c r="G469" s="35"/>
      <c r="H469" s="35"/>
    </row>
    <row r="470" spans="2:8" x14ac:dyDescent="0.25">
      <c r="B470"/>
      <c r="C470"/>
      <c r="D470" s="35"/>
      <c r="E470" s="35"/>
      <c r="F470" s="35"/>
      <c r="G470" s="35"/>
      <c r="H470" s="35"/>
    </row>
    <row r="471" spans="2:8" x14ac:dyDescent="0.25">
      <c r="B471"/>
      <c r="C471"/>
      <c r="D471" s="35"/>
      <c r="E471" s="35"/>
      <c r="F471" s="35"/>
      <c r="G471" s="35"/>
      <c r="H471" s="35"/>
    </row>
    <row r="472" spans="2:8" x14ac:dyDescent="0.25">
      <c r="B472"/>
      <c r="C472"/>
      <c r="D472" s="35"/>
      <c r="E472" s="35"/>
      <c r="F472" s="35"/>
      <c r="G472" s="35"/>
      <c r="H472" s="35"/>
    </row>
    <row r="473" spans="2:8" x14ac:dyDescent="0.25">
      <c r="B473"/>
      <c r="C473"/>
      <c r="D473" s="35"/>
      <c r="E473" s="35"/>
      <c r="F473" s="35"/>
      <c r="G473" s="35"/>
      <c r="H473" s="35"/>
    </row>
    <row r="474" spans="2:8" x14ac:dyDescent="0.25">
      <c r="B474"/>
      <c r="C474"/>
      <c r="D474" s="35"/>
      <c r="E474" s="35"/>
      <c r="F474" s="35"/>
      <c r="G474" s="35"/>
      <c r="H474" s="35"/>
    </row>
    <row r="475" spans="2:8" x14ac:dyDescent="0.25">
      <c r="B475"/>
      <c r="C475"/>
      <c r="D475" s="35"/>
      <c r="E475" s="35"/>
      <c r="F475" s="35"/>
      <c r="G475" s="35"/>
      <c r="H475" s="35"/>
    </row>
    <row r="476" spans="2:8" x14ac:dyDescent="0.25">
      <c r="B476"/>
      <c r="C476"/>
      <c r="D476" s="35"/>
      <c r="E476" s="35"/>
      <c r="F476" s="35"/>
      <c r="G476" s="35"/>
      <c r="H476" s="35"/>
    </row>
    <row r="477" spans="2:8" x14ac:dyDescent="0.25">
      <c r="B477"/>
      <c r="C477"/>
      <c r="D477" s="35"/>
      <c r="E477" s="35"/>
      <c r="F477" s="35"/>
      <c r="G477" s="35"/>
      <c r="H477" s="35"/>
    </row>
    <row r="478" spans="2:8" x14ac:dyDescent="0.25">
      <c r="B478"/>
      <c r="C478"/>
      <c r="D478" s="35"/>
      <c r="E478" s="35"/>
      <c r="F478" s="35"/>
      <c r="G478" s="35"/>
      <c r="H478" s="35"/>
    </row>
    <row r="479" spans="2:8" x14ac:dyDescent="0.25">
      <c r="B479"/>
      <c r="C479"/>
      <c r="D479" s="35"/>
      <c r="E479" s="35"/>
      <c r="F479" s="35"/>
      <c r="G479" s="35"/>
      <c r="H479" s="35"/>
    </row>
    <row r="480" spans="2:8" x14ac:dyDescent="0.25">
      <c r="B480"/>
      <c r="C480"/>
      <c r="D480" s="35"/>
      <c r="E480" s="35"/>
      <c r="F480" s="35"/>
      <c r="G480" s="35"/>
      <c r="H480" s="35"/>
    </row>
    <row r="481" spans="2:8" x14ac:dyDescent="0.25">
      <c r="B481"/>
      <c r="C481"/>
      <c r="D481" s="35"/>
      <c r="E481" s="35"/>
      <c r="F481" s="35"/>
      <c r="G481" s="35"/>
      <c r="H481" s="35"/>
    </row>
    <row r="482" spans="2:8" x14ac:dyDescent="0.25">
      <c r="B482"/>
      <c r="C482"/>
      <c r="D482" s="35"/>
      <c r="E482" s="35"/>
      <c r="F482" s="35"/>
      <c r="G482" s="35"/>
      <c r="H482" s="35"/>
    </row>
    <row r="483" spans="2:8" x14ac:dyDescent="0.25">
      <c r="B483"/>
      <c r="C483"/>
      <c r="D483" s="35"/>
      <c r="E483" s="35"/>
      <c r="F483" s="35"/>
      <c r="G483" s="35"/>
      <c r="H483" s="35"/>
    </row>
    <row r="484" spans="2:8" x14ac:dyDescent="0.25">
      <c r="B484"/>
      <c r="C484"/>
      <c r="D484" s="35"/>
      <c r="E484" s="35"/>
      <c r="F484" s="35"/>
      <c r="G484" s="35"/>
      <c r="H484" s="35"/>
    </row>
    <row r="485" spans="2:8" x14ac:dyDescent="0.25">
      <c r="B485"/>
      <c r="C485"/>
      <c r="D485" s="35"/>
      <c r="E485" s="35"/>
      <c r="F485" s="35"/>
      <c r="G485" s="35"/>
      <c r="H485" s="35"/>
    </row>
    <row r="486" spans="2:8" x14ac:dyDescent="0.25">
      <c r="B486"/>
      <c r="C486"/>
      <c r="D486" s="35"/>
      <c r="E486" s="35"/>
      <c r="F486" s="35"/>
      <c r="G486" s="35"/>
      <c r="H486" s="35"/>
    </row>
    <row r="487" spans="2:8" x14ac:dyDescent="0.25">
      <c r="B487"/>
      <c r="C487"/>
      <c r="D487" s="35"/>
      <c r="E487" s="35"/>
      <c r="F487" s="35"/>
      <c r="G487" s="35"/>
      <c r="H487" s="35"/>
    </row>
    <row r="488" spans="2:8" x14ac:dyDescent="0.25">
      <c r="B488"/>
      <c r="C488"/>
      <c r="D488" s="35"/>
      <c r="E488" s="35"/>
      <c r="F488" s="35"/>
      <c r="G488" s="35"/>
      <c r="H488" s="35"/>
    </row>
    <row r="489" spans="2:8" x14ac:dyDescent="0.25">
      <c r="B489"/>
      <c r="C489"/>
      <c r="D489" s="35"/>
      <c r="E489" s="35"/>
      <c r="F489" s="35"/>
      <c r="G489" s="35"/>
      <c r="H489" s="35"/>
    </row>
    <row r="490" spans="2:8" x14ac:dyDescent="0.25">
      <c r="B490"/>
      <c r="C490"/>
      <c r="D490" s="35"/>
      <c r="E490" s="35"/>
      <c r="F490" s="35"/>
      <c r="G490" s="35"/>
      <c r="H490" s="35"/>
    </row>
    <row r="491" spans="2:8" x14ac:dyDescent="0.25">
      <c r="B491"/>
      <c r="C491"/>
      <c r="D491" s="35"/>
      <c r="E491" s="35"/>
      <c r="F491" s="35"/>
      <c r="G491" s="35"/>
      <c r="H491" s="35"/>
    </row>
    <row r="492" spans="2:8" x14ac:dyDescent="0.25">
      <c r="B492"/>
      <c r="C492"/>
      <c r="D492" s="35"/>
      <c r="E492" s="35"/>
      <c r="F492" s="35"/>
      <c r="G492" s="35"/>
      <c r="H492" s="35"/>
    </row>
    <row r="493" spans="2:8" x14ac:dyDescent="0.25">
      <c r="B493"/>
      <c r="C493"/>
      <c r="D493" s="35"/>
      <c r="E493" s="35"/>
      <c r="F493" s="35"/>
      <c r="G493" s="35"/>
      <c r="H493" s="35"/>
    </row>
    <row r="494" spans="2:8" x14ac:dyDescent="0.25">
      <c r="B494"/>
      <c r="C494"/>
      <c r="D494" s="35"/>
      <c r="E494" s="35"/>
      <c r="F494" s="35"/>
      <c r="G494" s="35"/>
      <c r="H494" s="35"/>
    </row>
    <row r="495" spans="2:8" x14ac:dyDescent="0.25">
      <c r="B495"/>
      <c r="C495"/>
      <c r="D495" s="35"/>
      <c r="E495" s="35"/>
      <c r="F495" s="35"/>
      <c r="G495" s="35"/>
      <c r="H495" s="35"/>
    </row>
    <row r="496" spans="2:8" x14ac:dyDescent="0.25">
      <c r="B496"/>
      <c r="C496"/>
      <c r="D496" s="35"/>
      <c r="E496" s="35"/>
      <c r="F496" s="35"/>
      <c r="G496" s="35"/>
      <c r="H496" s="35"/>
    </row>
    <row r="497" spans="2:8" x14ac:dyDescent="0.25">
      <c r="B497"/>
      <c r="C497"/>
      <c r="D497" s="35"/>
      <c r="E497" s="35"/>
      <c r="F497" s="35"/>
      <c r="G497" s="35"/>
      <c r="H497" s="35"/>
    </row>
    <row r="498" spans="2:8" x14ac:dyDescent="0.25">
      <c r="B498"/>
      <c r="C498"/>
      <c r="D498" s="35"/>
      <c r="E498" s="35"/>
      <c r="F498" s="35"/>
      <c r="G498" s="35"/>
      <c r="H498" s="35"/>
    </row>
    <row r="499" spans="2:8" x14ac:dyDescent="0.25">
      <c r="B499"/>
      <c r="C499"/>
      <c r="D499" s="35"/>
      <c r="E499" s="35"/>
      <c r="F499" s="35"/>
      <c r="G499" s="35"/>
      <c r="H499" s="35"/>
    </row>
    <row r="500" spans="2:8" x14ac:dyDescent="0.25">
      <c r="B500"/>
      <c r="C500"/>
      <c r="D500" s="35"/>
      <c r="E500" s="35"/>
      <c r="F500" s="35"/>
      <c r="G500" s="35"/>
      <c r="H500" s="35"/>
    </row>
    <row r="501" spans="2:8" x14ac:dyDescent="0.25">
      <c r="B501"/>
      <c r="C501"/>
      <c r="D501" s="35"/>
      <c r="E501" s="35"/>
      <c r="F501" s="35"/>
      <c r="G501" s="35"/>
      <c r="H501" s="35"/>
    </row>
    <row r="502" spans="2:8" x14ac:dyDescent="0.25">
      <c r="B502"/>
      <c r="C502"/>
      <c r="D502" s="35"/>
      <c r="E502" s="35"/>
      <c r="F502" s="35"/>
      <c r="G502" s="35"/>
      <c r="H502" s="35"/>
    </row>
    <row r="503" spans="2:8" x14ac:dyDescent="0.25">
      <c r="B503"/>
      <c r="C503"/>
      <c r="D503" s="35"/>
      <c r="E503" s="35"/>
      <c r="F503" s="35"/>
      <c r="G503" s="35"/>
      <c r="H503" s="35"/>
    </row>
    <row r="504" spans="2:8" x14ac:dyDescent="0.25">
      <c r="B504"/>
      <c r="C504"/>
      <c r="D504" s="35"/>
      <c r="E504" s="35"/>
      <c r="F504" s="35"/>
      <c r="G504" s="35"/>
      <c r="H504" s="35"/>
    </row>
    <row r="505" spans="2:8" x14ac:dyDescent="0.25">
      <c r="B505"/>
      <c r="C505"/>
      <c r="D505" s="35"/>
      <c r="E505" s="35"/>
      <c r="F505" s="35"/>
      <c r="G505" s="35"/>
      <c r="H505" s="35"/>
    </row>
    <row r="506" spans="2:8" x14ac:dyDescent="0.25">
      <c r="B506"/>
      <c r="C506"/>
      <c r="D506" s="35"/>
      <c r="E506" s="35"/>
      <c r="F506" s="35"/>
      <c r="G506" s="35"/>
      <c r="H506" s="35"/>
    </row>
    <row r="507" spans="2:8" x14ac:dyDescent="0.25">
      <c r="B507"/>
      <c r="C507"/>
      <c r="D507" s="35"/>
      <c r="E507" s="35"/>
      <c r="F507" s="35"/>
      <c r="G507" s="35"/>
      <c r="H507" s="35"/>
    </row>
    <row r="508" spans="2:8" x14ac:dyDescent="0.25">
      <c r="B508"/>
      <c r="C508"/>
      <c r="D508" s="35"/>
      <c r="E508" s="35"/>
      <c r="F508" s="35"/>
      <c r="G508" s="35"/>
      <c r="H508" s="35"/>
    </row>
    <row r="509" spans="2:8" x14ac:dyDescent="0.25">
      <c r="B509"/>
      <c r="C509"/>
      <c r="D509" s="35"/>
      <c r="E509" s="35"/>
      <c r="F509" s="35"/>
      <c r="G509" s="35"/>
      <c r="H509" s="35"/>
    </row>
    <row r="510" spans="2:8" x14ac:dyDescent="0.25">
      <c r="B510"/>
      <c r="C510"/>
      <c r="D510" s="35"/>
      <c r="E510" s="35"/>
      <c r="F510" s="35"/>
      <c r="G510" s="35"/>
      <c r="H510" s="35"/>
    </row>
    <row r="511" spans="2:8" x14ac:dyDescent="0.25">
      <c r="B511"/>
      <c r="C511"/>
      <c r="D511" s="35"/>
      <c r="E511" s="35"/>
      <c r="F511" s="35"/>
      <c r="G511" s="35"/>
      <c r="H511" s="35"/>
    </row>
    <row r="512" spans="2:8" x14ac:dyDescent="0.25">
      <c r="B512"/>
      <c r="C512"/>
      <c r="D512" s="35"/>
      <c r="E512" s="35"/>
      <c r="F512" s="35"/>
      <c r="G512" s="35"/>
      <c r="H512" s="35"/>
    </row>
    <row r="513" spans="2:8" x14ac:dyDescent="0.25">
      <c r="B513"/>
      <c r="C513"/>
      <c r="D513" s="35"/>
      <c r="E513" s="35"/>
      <c r="F513" s="35"/>
      <c r="G513" s="35"/>
      <c r="H513" s="35"/>
    </row>
    <row r="514" spans="2:8" x14ac:dyDescent="0.25">
      <c r="B514"/>
      <c r="C514"/>
      <c r="D514" s="35"/>
      <c r="E514" s="35"/>
      <c r="F514" s="35"/>
      <c r="G514" s="35"/>
      <c r="H514" s="35"/>
    </row>
    <row r="515" spans="2:8" x14ac:dyDescent="0.25">
      <c r="B515"/>
      <c r="C515"/>
      <c r="D515" s="35"/>
      <c r="E515" s="35"/>
      <c r="F515" s="35"/>
      <c r="G515" s="35"/>
      <c r="H515" s="35"/>
    </row>
    <row r="516" spans="2:8" x14ac:dyDescent="0.25">
      <c r="B516"/>
      <c r="C516"/>
      <c r="D516" s="35"/>
      <c r="E516" s="35"/>
      <c r="F516" s="35"/>
      <c r="G516" s="35"/>
      <c r="H516" s="35"/>
    </row>
    <row r="517" spans="2:8" x14ac:dyDescent="0.25">
      <c r="B517"/>
      <c r="C517"/>
      <c r="D517" s="35"/>
      <c r="E517" s="35"/>
      <c r="F517" s="35"/>
      <c r="G517" s="35"/>
      <c r="H517" s="35"/>
    </row>
    <row r="518" spans="2:8" x14ac:dyDescent="0.25">
      <c r="B518"/>
      <c r="C518"/>
      <c r="D518" s="35"/>
      <c r="E518" s="35"/>
      <c r="F518" s="35"/>
      <c r="G518" s="35"/>
      <c r="H518" s="35"/>
    </row>
    <row r="519" spans="2:8" x14ac:dyDescent="0.25">
      <c r="B519"/>
      <c r="C519"/>
      <c r="D519" s="35"/>
      <c r="E519" s="35"/>
      <c r="F519" s="35"/>
      <c r="G519" s="35"/>
      <c r="H519" s="35"/>
    </row>
    <row r="520" spans="2:8" x14ac:dyDescent="0.25">
      <c r="B520"/>
      <c r="C520"/>
      <c r="D520" s="35"/>
      <c r="E520" s="35"/>
      <c r="F520" s="35"/>
      <c r="G520" s="35"/>
      <c r="H520" s="35"/>
    </row>
    <row r="521" spans="2:8" x14ac:dyDescent="0.25">
      <c r="B521"/>
      <c r="C521"/>
      <c r="D521" s="35"/>
      <c r="E521" s="35"/>
      <c r="F521" s="35"/>
      <c r="G521" s="35"/>
      <c r="H521" s="35"/>
    </row>
    <row r="522" spans="2:8" x14ac:dyDescent="0.25">
      <c r="B522"/>
      <c r="C522"/>
      <c r="D522" s="35"/>
      <c r="E522" s="35"/>
      <c r="F522" s="35"/>
      <c r="G522" s="35"/>
      <c r="H522" s="35"/>
    </row>
    <row r="523" spans="2:8" x14ac:dyDescent="0.25">
      <c r="B523"/>
      <c r="C523"/>
      <c r="D523" s="35"/>
      <c r="E523" s="35"/>
      <c r="F523" s="35"/>
      <c r="G523" s="35"/>
      <c r="H523" s="35"/>
    </row>
    <row r="524" spans="2:8" x14ac:dyDescent="0.25">
      <c r="B524"/>
      <c r="C524"/>
      <c r="D524" s="35"/>
      <c r="E524" s="35"/>
      <c r="F524" s="35"/>
      <c r="G524" s="35"/>
      <c r="H524" s="35"/>
    </row>
    <row r="525" spans="2:8" x14ac:dyDescent="0.25">
      <c r="B525"/>
      <c r="C525"/>
      <c r="D525" s="35"/>
      <c r="E525" s="35"/>
      <c r="F525" s="35"/>
      <c r="G525" s="35"/>
      <c r="H525" s="35"/>
    </row>
    <row r="526" spans="2:8" x14ac:dyDescent="0.25">
      <c r="B526"/>
      <c r="C526"/>
      <c r="D526" s="35"/>
      <c r="E526" s="35"/>
      <c r="F526" s="35"/>
      <c r="G526" s="35"/>
      <c r="H526" s="35"/>
    </row>
    <row r="527" spans="2:8" x14ac:dyDescent="0.25">
      <c r="B527"/>
      <c r="C527"/>
      <c r="D527" s="35"/>
      <c r="E527" s="35"/>
      <c r="F527" s="35"/>
      <c r="G527" s="35"/>
      <c r="H527" s="35"/>
    </row>
    <row r="528" spans="2:8" x14ac:dyDescent="0.25">
      <c r="B528"/>
      <c r="C528"/>
      <c r="D528" s="35"/>
      <c r="E528" s="35"/>
      <c r="F528" s="35"/>
      <c r="G528" s="35"/>
      <c r="H528" s="35"/>
    </row>
    <row r="529" spans="2:8" x14ac:dyDescent="0.25">
      <c r="B529"/>
      <c r="C529"/>
      <c r="D529" s="35"/>
      <c r="E529" s="35"/>
      <c r="F529" s="35"/>
      <c r="G529" s="35"/>
      <c r="H529" s="35"/>
    </row>
    <row r="530" spans="2:8" x14ac:dyDescent="0.25">
      <c r="B530"/>
      <c r="C530"/>
      <c r="D530" s="35"/>
      <c r="E530" s="35"/>
      <c r="F530" s="35"/>
      <c r="G530" s="35"/>
      <c r="H530" s="35"/>
    </row>
    <row r="531" spans="2:8" x14ac:dyDescent="0.25">
      <c r="B531"/>
      <c r="C531"/>
      <c r="D531" s="35"/>
      <c r="E531" s="35"/>
      <c r="F531" s="35"/>
      <c r="G531" s="35"/>
      <c r="H531" s="35"/>
    </row>
    <row r="532" spans="2:8" x14ac:dyDescent="0.25">
      <c r="B532"/>
      <c r="C532"/>
      <c r="D532" s="35"/>
      <c r="E532" s="35"/>
      <c r="F532" s="35"/>
      <c r="G532" s="35"/>
      <c r="H532" s="35"/>
    </row>
    <row r="533" spans="2:8" x14ac:dyDescent="0.25">
      <c r="B533"/>
      <c r="C533"/>
      <c r="D533" s="35"/>
      <c r="E533" s="35"/>
      <c r="F533" s="35"/>
      <c r="G533" s="35"/>
      <c r="H533" s="35"/>
    </row>
    <row r="534" spans="2:8" x14ac:dyDescent="0.25">
      <c r="B534"/>
      <c r="C534"/>
      <c r="D534" s="35"/>
      <c r="E534" s="35"/>
      <c r="F534" s="35"/>
      <c r="G534" s="35"/>
      <c r="H534" s="35"/>
    </row>
    <row r="535" spans="2:8" x14ac:dyDescent="0.25">
      <c r="B535"/>
      <c r="C535"/>
      <c r="D535" s="35"/>
      <c r="E535" s="35"/>
      <c r="F535" s="35"/>
      <c r="G535" s="35"/>
      <c r="H535" s="35"/>
    </row>
    <row r="536" spans="2:8" x14ac:dyDescent="0.25">
      <c r="B536"/>
      <c r="C536"/>
      <c r="D536" s="35"/>
      <c r="E536" s="35"/>
      <c r="F536" s="35"/>
      <c r="G536" s="35"/>
      <c r="H536" s="35"/>
    </row>
    <row r="537" spans="2:8" x14ac:dyDescent="0.25">
      <c r="B537"/>
      <c r="C537"/>
      <c r="D537" s="35"/>
      <c r="E537" s="35"/>
      <c r="F537" s="35"/>
      <c r="G537" s="35"/>
      <c r="H537" s="35"/>
    </row>
    <row r="538" spans="2:8" x14ac:dyDescent="0.25">
      <c r="B538"/>
      <c r="C538"/>
      <c r="D538" s="35"/>
      <c r="E538" s="35"/>
      <c r="F538" s="35"/>
      <c r="G538" s="35"/>
      <c r="H538" s="35"/>
    </row>
    <row r="539" spans="2:8" x14ac:dyDescent="0.25">
      <c r="B539"/>
      <c r="C539"/>
      <c r="D539" s="35"/>
      <c r="E539" s="35"/>
      <c r="F539" s="35"/>
      <c r="G539" s="35"/>
      <c r="H539" s="35"/>
    </row>
    <row r="540" spans="2:8" x14ac:dyDescent="0.25">
      <c r="B540"/>
      <c r="C540"/>
      <c r="D540" s="35"/>
      <c r="E540" s="35"/>
      <c r="F540" s="35"/>
      <c r="G540" s="35"/>
      <c r="H540" s="35"/>
    </row>
    <row r="541" spans="2:8" x14ac:dyDescent="0.25">
      <c r="B541"/>
      <c r="C541"/>
      <c r="D541" s="35"/>
      <c r="E541" s="35"/>
      <c r="F541" s="35"/>
      <c r="G541" s="35"/>
      <c r="H541" s="35"/>
    </row>
    <row r="542" spans="2:8" x14ac:dyDescent="0.25">
      <c r="B542"/>
      <c r="C542"/>
      <c r="D542" s="35"/>
      <c r="E542" s="35"/>
      <c r="F542" s="35"/>
      <c r="G542" s="35"/>
      <c r="H542" s="35"/>
    </row>
    <row r="543" spans="2:8" x14ac:dyDescent="0.25">
      <c r="B543"/>
      <c r="C543"/>
      <c r="D543" s="35"/>
      <c r="E543" s="35"/>
      <c r="F543" s="35"/>
      <c r="G543" s="35"/>
      <c r="H543" s="35"/>
    </row>
    <row r="544" spans="2:8" x14ac:dyDescent="0.25">
      <c r="B544"/>
      <c r="C544"/>
      <c r="D544" s="35"/>
      <c r="E544" s="35"/>
      <c r="F544" s="35"/>
      <c r="G544" s="35"/>
      <c r="H544" s="35"/>
    </row>
    <row r="545" spans="2:8" x14ac:dyDescent="0.25">
      <c r="B545"/>
      <c r="C545"/>
      <c r="D545" s="35"/>
      <c r="E545" s="35"/>
      <c r="F545" s="35"/>
      <c r="G545" s="35"/>
      <c r="H545" s="35"/>
    </row>
    <row r="546" spans="2:8" x14ac:dyDescent="0.25">
      <c r="B546"/>
      <c r="C546"/>
      <c r="D546" s="35"/>
      <c r="E546" s="35"/>
      <c r="F546" s="35"/>
      <c r="G546" s="35"/>
      <c r="H546" s="35"/>
    </row>
    <row r="547" spans="2:8" x14ac:dyDescent="0.25">
      <c r="B547"/>
      <c r="C547"/>
      <c r="D547" s="35"/>
      <c r="E547" s="35"/>
      <c r="F547" s="35"/>
      <c r="G547" s="35"/>
      <c r="H547" s="35"/>
    </row>
    <row r="548" spans="2:8" x14ac:dyDescent="0.25">
      <c r="B548"/>
      <c r="C548"/>
      <c r="D548" s="35"/>
      <c r="E548" s="35"/>
      <c r="F548" s="35"/>
      <c r="G548" s="35"/>
      <c r="H548" s="35"/>
    </row>
    <row r="549" spans="2:8" x14ac:dyDescent="0.25">
      <c r="B549"/>
      <c r="C549"/>
      <c r="D549" s="35"/>
      <c r="E549" s="35"/>
      <c r="F549" s="35"/>
      <c r="G549" s="35"/>
      <c r="H549" s="35"/>
    </row>
    <row r="550" spans="2:8" x14ac:dyDescent="0.25">
      <c r="B550"/>
      <c r="C550"/>
      <c r="D550" s="35"/>
      <c r="E550" s="35"/>
      <c r="F550" s="35"/>
      <c r="G550" s="35"/>
      <c r="H550" s="35"/>
    </row>
    <row r="551" spans="2:8" x14ac:dyDescent="0.25">
      <c r="B551"/>
      <c r="C551"/>
      <c r="D551" s="35"/>
      <c r="E551" s="35"/>
      <c r="F551" s="35"/>
      <c r="G551" s="35"/>
      <c r="H551" s="35"/>
    </row>
    <row r="552" spans="2:8" x14ac:dyDescent="0.25">
      <c r="B552"/>
      <c r="C552"/>
      <c r="D552" s="35"/>
      <c r="E552" s="35"/>
      <c r="F552" s="35"/>
      <c r="G552" s="35"/>
      <c r="H552" s="35"/>
    </row>
    <row r="553" spans="2:8" x14ac:dyDescent="0.25">
      <c r="B553"/>
      <c r="C553"/>
      <c r="D553" s="35"/>
      <c r="E553" s="35"/>
      <c r="F553" s="35"/>
      <c r="G553" s="35"/>
      <c r="H553" s="35"/>
    </row>
    <row r="554" spans="2:8" x14ac:dyDescent="0.25">
      <c r="B554"/>
      <c r="C554"/>
      <c r="D554" s="35"/>
      <c r="E554" s="35"/>
      <c r="F554" s="35"/>
      <c r="G554" s="35"/>
      <c r="H554" s="35"/>
    </row>
    <row r="555" spans="2:8" x14ac:dyDescent="0.25">
      <c r="B555"/>
      <c r="C555"/>
      <c r="D555" s="35"/>
      <c r="E555" s="35"/>
      <c r="F555" s="35"/>
      <c r="G555" s="35"/>
      <c r="H555" s="35"/>
    </row>
    <row r="556" spans="2:8" x14ac:dyDescent="0.25">
      <c r="B556"/>
      <c r="C556"/>
      <c r="D556" s="35"/>
      <c r="E556" s="35"/>
      <c r="F556" s="35"/>
      <c r="G556" s="35"/>
      <c r="H556" s="35"/>
    </row>
    <row r="557" spans="2:8" x14ac:dyDescent="0.25">
      <c r="B557"/>
      <c r="C557"/>
      <c r="D557" s="35"/>
      <c r="E557" s="35"/>
      <c r="F557" s="35"/>
      <c r="G557" s="35"/>
      <c r="H557" s="35"/>
    </row>
    <row r="558" spans="2:8" x14ac:dyDescent="0.25">
      <c r="B558"/>
      <c r="C558"/>
      <c r="D558" s="35"/>
      <c r="E558" s="35"/>
      <c r="F558" s="35"/>
      <c r="G558" s="35"/>
      <c r="H558" s="35"/>
    </row>
    <row r="559" spans="2:8" x14ac:dyDescent="0.25">
      <c r="B559"/>
      <c r="C559"/>
      <c r="D559" s="35"/>
      <c r="E559" s="35"/>
      <c r="F559" s="35"/>
      <c r="G559" s="35"/>
      <c r="H559" s="35"/>
    </row>
    <row r="560" spans="2:8" x14ac:dyDescent="0.25">
      <c r="B560"/>
      <c r="C560"/>
      <c r="D560" s="35"/>
      <c r="E560" s="35"/>
      <c r="F560" s="35"/>
      <c r="G560" s="35"/>
      <c r="H560" s="35"/>
    </row>
    <row r="561" spans="2:8" x14ac:dyDescent="0.25">
      <c r="B561"/>
      <c r="C561"/>
      <c r="D561" s="35"/>
      <c r="E561" s="35"/>
      <c r="F561" s="35"/>
      <c r="G561" s="35"/>
      <c r="H561" s="35"/>
    </row>
    <row r="562" spans="2:8" x14ac:dyDescent="0.25">
      <c r="B562"/>
      <c r="C562"/>
      <c r="D562" s="35"/>
      <c r="E562" s="35"/>
      <c r="F562" s="35"/>
      <c r="G562" s="35"/>
      <c r="H562" s="35"/>
    </row>
    <row r="563" spans="2:8" x14ac:dyDescent="0.25">
      <c r="B563"/>
      <c r="C563"/>
      <c r="D563" s="35"/>
      <c r="E563" s="35"/>
      <c r="F563" s="35"/>
      <c r="G563" s="35"/>
      <c r="H563" s="35"/>
    </row>
    <row r="564" spans="2:8" x14ac:dyDescent="0.25">
      <c r="B564"/>
      <c r="C564"/>
      <c r="D564" s="35"/>
      <c r="E564" s="35"/>
      <c r="F564" s="35"/>
      <c r="G564" s="35"/>
      <c r="H564" s="35"/>
    </row>
    <row r="565" spans="2:8" x14ac:dyDescent="0.25">
      <c r="B565"/>
      <c r="C565"/>
      <c r="D565" s="35"/>
      <c r="E565" s="35"/>
      <c r="F565" s="35"/>
      <c r="G565" s="35"/>
      <c r="H565" s="35"/>
    </row>
    <row r="566" spans="2:8" x14ac:dyDescent="0.25">
      <c r="B566"/>
      <c r="C566"/>
      <c r="D566" s="35"/>
      <c r="E566" s="35"/>
      <c r="F566" s="35"/>
      <c r="G566" s="35"/>
      <c r="H566" s="35"/>
    </row>
    <row r="567" spans="2:8" x14ac:dyDescent="0.25">
      <c r="B567"/>
      <c r="C567"/>
      <c r="D567" s="35"/>
      <c r="E567" s="35"/>
      <c r="F567" s="35"/>
      <c r="G567" s="35"/>
      <c r="H567" s="35"/>
    </row>
    <row r="568" spans="2:8" x14ac:dyDescent="0.25">
      <c r="B568"/>
      <c r="C568"/>
      <c r="D568" s="35"/>
      <c r="E568" s="35"/>
      <c r="F568" s="35"/>
      <c r="G568" s="35"/>
      <c r="H568" s="35"/>
    </row>
    <row r="569" spans="2:8" x14ac:dyDescent="0.25">
      <c r="B569"/>
      <c r="C569"/>
      <c r="D569" s="35"/>
      <c r="E569" s="35"/>
      <c r="F569" s="35"/>
      <c r="G569" s="35"/>
      <c r="H569" s="35"/>
    </row>
    <row r="570" spans="2:8" x14ac:dyDescent="0.25">
      <c r="B570"/>
      <c r="C570"/>
      <c r="D570" s="35"/>
      <c r="E570" s="35"/>
      <c r="F570" s="35"/>
      <c r="G570" s="35"/>
      <c r="H570" s="35"/>
    </row>
    <row r="571" spans="2:8" x14ac:dyDescent="0.25">
      <c r="B571"/>
      <c r="C571"/>
      <c r="D571" s="35"/>
      <c r="E571" s="35"/>
      <c r="F571" s="35"/>
      <c r="G571" s="35"/>
      <c r="H571" s="35"/>
    </row>
    <row r="572" spans="2:8" x14ac:dyDescent="0.25">
      <c r="B572"/>
      <c r="C572"/>
      <c r="D572" s="35"/>
      <c r="E572" s="35"/>
      <c r="F572" s="35"/>
      <c r="G572" s="35"/>
      <c r="H572" s="35"/>
    </row>
    <row r="573" spans="2:8" x14ac:dyDescent="0.25">
      <c r="B573"/>
      <c r="C573"/>
      <c r="D573" s="35"/>
      <c r="E573" s="35"/>
      <c r="F573" s="35"/>
      <c r="G573" s="35"/>
      <c r="H573" s="35"/>
    </row>
    <row r="574" spans="2:8" x14ac:dyDescent="0.25">
      <c r="B574"/>
      <c r="C574"/>
      <c r="D574" s="35"/>
      <c r="E574" s="35"/>
      <c r="F574" s="35"/>
      <c r="G574" s="35"/>
      <c r="H574" s="35"/>
    </row>
    <row r="575" spans="2:8" x14ac:dyDescent="0.25">
      <c r="B575"/>
      <c r="C575"/>
      <c r="D575" s="35"/>
      <c r="E575" s="35"/>
      <c r="F575" s="35"/>
      <c r="G575" s="35"/>
      <c r="H575" s="35"/>
    </row>
    <row r="576" spans="2:8" x14ac:dyDescent="0.25">
      <c r="B576"/>
      <c r="C576"/>
      <c r="D576" s="35"/>
      <c r="E576" s="35"/>
      <c r="F576" s="35"/>
      <c r="G576" s="35"/>
      <c r="H576" s="35"/>
    </row>
    <row r="577" spans="2:8" x14ac:dyDescent="0.25">
      <c r="B577"/>
      <c r="C577"/>
      <c r="D577" s="35"/>
      <c r="E577" s="35"/>
      <c r="F577" s="35"/>
      <c r="G577" s="35"/>
      <c r="H577" s="35"/>
    </row>
    <row r="578" spans="2:8" x14ac:dyDescent="0.25">
      <c r="B578"/>
      <c r="C578"/>
      <c r="D578" s="35"/>
      <c r="E578" s="35"/>
      <c r="F578" s="35"/>
      <c r="G578" s="35"/>
      <c r="H578" s="35"/>
    </row>
    <row r="579" spans="2:8" x14ac:dyDescent="0.25">
      <c r="B579"/>
      <c r="C579"/>
      <c r="D579" s="35"/>
      <c r="E579" s="35"/>
      <c r="F579" s="35"/>
      <c r="G579" s="35"/>
      <c r="H579" s="35"/>
    </row>
    <row r="580" spans="2:8" x14ac:dyDescent="0.25">
      <c r="B580"/>
      <c r="C580"/>
      <c r="D580" s="35"/>
      <c r="E580" s="35"/>
      <c r="F580" s="35"/>
      <c r="G580" s="35"/>
      <c r="H580" s="35"/>
    </row>
    <row r="581" spans="2:8" x14ac:dyDescent="0.25">
      <c r="B581"/>
      <c r="C581"/>
      <c r="D581" s="35"/>
      <c r="E581" s="35"/>
      <c r="F581" s="35"/>
      <c r="G581" s="35"/>
      <c r="H581" s="35"/>
    </row>
    <row r="582" spans="2:8" x14ac:dyDescent="0.25">
      <c r="B582"/>
      <c r="C582"/>
      <c r="D582" s="35"/>
      <c r="E582" s="35"/>
      <c r="F582" s="35"/>
      <c r="G582" s="35"/>
      <c r="H582" s="35"/>
    </row>
    <row r="583" spans="2:8" x14ac:dyDescent="0.25">
      <c r="B583"/>
      <c r="C583"/>
      <c r="D583" s="35"/>
      <c r="E583" s="35"/>
      <c r="F583" s="35"/>
      <c r="G583" s="35"/>
      <c r="H583" s="35"/>
    </row>
    <row r="584" spans="2:8" x14ac:dyDescent="0.25">
      <c r="B584"/>
      <c r="C584"/>
      <c r="D584" s="35"/>
      <c r="E584" s="35"/>
      <c r="F584" s="35"/>
      <c r="G584" s="35"/>
      <c r="H584" s="35"/>
    </row>
    <row r="585" spans="2:8" x14ac:dyDescent="0.25">
      <c r="B585"/>
      <c r="C585"/>
      <c r="D585" s="35"/>
      <c r="E585" s="35"/>
      <c r="F585" s="35"/>
      <c r="G585" s="35"/>
      <c r="H585" s="35"/>
    </row>
    <row r="586" spans="2:8" x14ac:dyDescent="0.25">
      <c r="B586"/>
      <c r="C586"/>
      <c r="D586" s="35"/>
      <c r="E586" s="35"/>
      <c r="F586" s="35"/>
      <c r="G586" s="35"/>
      <c r="H586" s="35"/>
    </row>
    <row r="587" spans="2:8" x14ac:dyDescent="0.25">
      <c r="B587"/>
      <c r="C587"/>
      <c r="D587" s="35"/>
      <c r="E587" s="35"/>
      <c r="F587" s="35"/>
      <c r="G587" s="35"/>
      <c r="H587" s="35"/>
    </row>
    <row r="588" spans="2:8" x14ac:dyDescent="0.25">
      <c r="B588"/>
      <c r="C588"/>
      <c r="D588" s="35"/>
      <c r="E588" s="35"/>
      <c r="F588" s="35"/>
      <c r="G588" s="35"/>
      <c r="H588" s="35"/>
    </row>
    <row r="589" spans="2:8" x14ac:dyDescent="0.25">
      <c r="B589"/>
      <c r="C589"/>
      <c r="D589" s="35"/>
      <c r="E589" s="35"/>
      <c r="F589" s="35"/>
      <c r="G589" s="35"/>
      <c r="H589" s="35"/>
    </row>
    <row r="590" spans="2:8" x14ac:dyDescent="0.25">
      <c r="B590"/>
      <c r="C590"/>
      <c r="D590" s="35"/>
      <c r="E590" s="35"/>
      <c r="F590" s="35"/>
      <c r="G590" s="35"/>
      <c r="H590" s="35"/>
    </row>
    <row r="591" spans="2:8" x14ac:dyDescent="0.25">
      <c r="B591"/>
      <c r="C591"/>
      <c r="D591" s="35"/>
      <c r="E591" s="35"/>
      <c r="F591" s="35"/>
      <c r="G591" s="35"/>
      <c r="H591" s="35"/>
    </row>
    <row r="592" spans="2:8" x14ac:dyDescent="0.25">
      <c r="B592"/>
      <c r="C592"/>
      <c r="D592" s="35"/>
      <c r="E592" s="35"/>
      <c r="F592" s="35"/>
      <c r="G592" s="35"/>
      <c r="H592" s="35"/>
    </row>
    <row r="593" spans="2:8" x14ac:dyDescent="0.25">
      <c r="B593"/>
      <c r="C593"/>
      <c r="D593" s="35"/>
      <c r="E593" s="35"/>
      <c r="F593" s="35"/>
      <c r="G593" s="35"/>
      <c r="H593" s="35"/>
    </row>
    <row r="594" spans="2:8" x14ac:dyDescent="0.25">
      <c r="B594"/>
      <c r="C594"/>
      <c r="D594" s="35"/>
      <c r="E594" s="35"/>
      <c r="F594" s="35"/>
      <c r="G594" s="35"/>
      <c r="H594" s="35"/>
    </row>
    <row r="595" spans="2:8" x14ac:dyDescent="0.25">
      <c r="B595"/>
      <c r="C595"/>
      <c r="D595" s="35"/>
      <c r="E595" s="35"/>
      <c r="F595" s="35"/>
      <c r="G595" s="35"/>
      <c r="H595" s="35"/>
    </row>
    <row r="596" spans="2:8" x14ac:dyDescent="0.25">
      <c r="B596"/>
      <c r="C596"/>
      <c r="D596" s="35"/>
      <c r="E596" s="35"/>
      <c r="F596" s="35"/>
      <c r="G596" s="35"/>
      <c r="H596" s="35"/>
    </row>
  </sheetData>
  <mergeCells count="2">
    <mergeCell ref="B1:H2"/>
    <mergeCell ref="L1:Z1"/>
  </mergeCells>
  <pageMargins left="0.25" right="0.25" top="0.75" bottom="0.75" header="0.3" footer="0.3"/>
  <pageSetup scale="8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F77E5-C93F-4FED-9624-5C17FF36890D}">
  <sheetPr>
    <pageSetUpPr fitToPage="1"/>
  </sheetPr>
  <dimension ref="B1:O467"/>
  <sheetViews>
    <sheetView showGridLines="0" zoomScale="150" zoomScaleNormal="150" workbookViewId="0">
      <selection activeCell="C15" sqref="C15"/>
    </sheetView>
  </sheetViews>
  <sheetFormatPr defaultRowHeight="15" x14ac:dyDescent="0.25"/>
  <cols>
    <col min="1" max="1" width="7" customWidth="1"/>
    <col min="2" max="2" width="29.7109375" bestFit="1" customWidth="1"/>
    <col min="3" max="3" width="20.28515625" style="1" customWidth="1"/>
    <col min="4" max="4" width="18.28515625" style="1" customWidth="1"/>
    <col min="5" max="5" width="14.140625" style="1" customWidth="1"/>
    <col min="6" max="6" width="15.42578125" style="1" customWidth="1"/>
    <col min="7" max="7" width="13.42578125" style="1" customWidth="1"/>
    <col min="8" max="8" width="13.7109375" style="1" customWidth="1"/>
    <col min="9" max="9" width="14" style="1" customWidth="1"/>
    <col min="10" max="10" width="18.140625" style="1" customWidth="1"/>
    <col min="11" max="11" width="18.140625" style="67" bestFit="1" customWidth="1"/>
    <col min="12" max="13" width="18.140625" style="1" bestFit="1" customWidth="1"/>
    <col min="14" max="14" width="9.140625" customWidth="1"/>
  </cols>
  <sheetData>
    <row r="1" spans="2:15" x14ac:dyDescent="0.25">
      <c r="B1" s="75" t="s">
        <v>47</v>
      </c>
      <c r="C1" s="75"/>
      <c r="D1" s="75"/>
      <c r="E1" s="75"/>
      <c r="F1" s="75"/>
      <c r="G1" s="75"/>
      <c r="H1" s="75"/>
      <c r="I1" s="75"/>
    </row>
    <row r="2" spans="2:15" x14ac:dyDescent="0.25">
      <c r="B2" s="75"/>
      <c r="C2" s="75"/>
      <c r="D2" s="75"/>
      <c r="E2" s="75"/>
      <c r="F2" s="75"/>
      <c r="G2" s="75"/>
      <c r="H2" s="75"/>
      <c r="I2" s="75"/>
    </row>
    <row r="3" spans="2:15" x14ac:dyDescent="0.25">
      <c r="B3" s="39" t="s">
        <v>51</v>
      </c>
      <c r="C3" t="s">
        <v>43</v>
      </c>
      <c r="D3" t="s">
        <v>46</v>
      </c>
      <c r="E3" s="1" t="s">
        <v>9</v>
      </c>
      <c r="F3" s="1" t="s">
        <v>10</v>
      </c>
      <c r="G3" s="1" t="s">
        <v>45</v>
      </c>
      <c r="H3" s="1" t="s">
        <v>11</v>
      </c>
      <c r="I3" s="1" t="s">
        <v>12</v>
      </c>
      <c r="J3"/>
      <c r="K3" s="68"/>
      <c r="L3"/>
      <c r="M3"/>
    </row>
    <row r="4" spans="2:15" x14ac:dyDescent="0.25">
      <c r="B4" s="40" t="s">
        <v>32</v>
      </c>
      <c r="C4" s="1">
        <v>220</v>
      </c>
      <c r="D4" s="1">
        <v>165</v>
      </c>
      <c r="E4" s="41">
        <v>0.27727272727272728</v>
      </c>
      <c r="F4" s="41">
        <v>0.47272727272727272</v>
      </c>
      <c r="G4" s="41">
        <v>0.75</v>
      </c>
      <c r="H4" s="41">
        <v>0.19545454545454546</v>
      </c>
      <c r="I4" s="41">
        <v>5.4545454545454543E-2</v>
      </c>
      <c r="J4"/>
      <c r="K4" s="67">
        <v>0</v>
      </c>
      <c r="L4"/>
      <c r="M4"/>
    </row>
    <row r="5" spans="2:15" x14ac:dyDescent="0.25">
      <c r="B5" s="40" t="s">
        <v>29</v>
      </c>
      <c r="C5" s="1">
        <v>190</v>
      </c>
      <c r="D5" s="1">
        <v>136</v>
      </c>
      <c r="E5" s="41">
        <v>0.31578947368421051</v>
      </c>
      <c r="F5" s="41">
        <v>0.4</v>
      </c>
      <c r="G5" s="41">
        <v>0.71578947368421053</v>
      </c>
      <c r="H5" s="41">
        <v>0.18947368421052632</v>
      </c>
      <c r="I5" s="41">
        <v>9.4736842105263161E-2</v>
      </c>
      <c r="J5"/>
      <c r="K5" s="68">
        <v>0</v>
      </c>
      <c r="L5"/>
      <c r="M5"/>
    </row>
    <row r="6" spans="2:15" x14ac:dyDescent="0.25">
      <c r="B6" s="40" t="s">
        <v>17</v>
      </c>
      <c r="C6" s="1">
        <v>123</v>
      </c>
      <c r="D6" s="1">
        <v>92</v>
      </c>
      <c r="E6" s="41">
        <v>0.3983739837398374</v>
      </c>
      <c r="F6" s="41">
        <v>0.34959349593495936</v>
      </c>
      <c r="G6" s="41">
        <v>0.74796747967479671</v>
      </c>
      <c r="H6" s="41">
        <v>0.17073170731707318</v>
      </c>
      <c r="I6" s="41">
        <v>8.1300813008130079E-2</v>
      </c>
      <c r="J6"/>
      <c r="K6" s="68">
        <v>0</v>
      </c>
      <c r="L6"/>
      <c r="M6"/>
    </row>
    <row r="7" spans="2:15" x14ac:dyDescent="0.25">
      <c r="B7" s="40" t="s">
        <v>28</v>
      </c>
      <c r="C7" s="1">
        <v>121</v>
      </c>
      <c r="D7" s="1">
        <v>84</v>
      </c>
      <c r="E7" s="41">
        <v>0.4049586776859504</v>
      </c>
      <c r="F7" s="41">
        <v>0.28925619834710742</v>
      </c>
      <c r="G7" s="41">
        <v>0.69421487603305787</v>
      </c>
      <c r="H7" s="41">
        <v>0.20661157024793389</v>
      </c>
      <c r="I7" s="41">
        <v>9.9173553719008267E-2</v>
      </c>
      <c r="J7"/>
      <c r="K7" s="68">
        <v>0</v>
      </c>
      <c r="L7"/>
      <c r="M7"/>
    </row>
    <row r="8" spans="2:15" x14ac:dyDescent="0.25">
      <c r="B8" s="40" t="s">
        <v>26</v>
      </c>
      <c r="C8" s="1">
        <v>66</v>
      </c>
      <c r="D8" s="1">
        <v>50</v>
      </c>
      <c r="E8" s="41">
        <v>0.42424242424242425</v>
      </c>
      <c r="F8" s="41">
        <v>0.33333333333333331</v>
      </c>
      <c r="G8" s="41">
        <v>0.75757575757575757</v>
      </c>
      <c r="H8" s="41">
        <v>0.24242424242424243</v>
      </c>
      <c r="I8" s="41">
        <v>0</v>
      </c>
      <c r="J8"/>
      <c r="K8" s="68">
        <v>0</v>
      </c>
      <c r="L8"/>
      <c r="M8"/>
    </row>
    <row r="9" spans="2:15" x14ac:dyDescent="0.25">
      <c r="B9" s="40" t="s">
        <v>38</v>
      </c>
      <c r="C9" s="1">
        <v>40</v>
      </c>
      <c r="D9" s="1">
        <v>32</v>
      </c>
      <c r="E9" s="41">
        <v>0.27500000000000002</v>
      </c>
      <c r="F9" s="41">
        <v>0.52500000000000002</v>
      </c>
      <c r="G9" s="41">
        <v>0.8</v>
      </c>
      <c r="H9" s="41">
        <v>0.1</v>
      </c>
      <c r="I9" s="41">
        <v>0.1</v>
      </c>
      <c r="J9"/>
      <c r="K9" s="68">
        <v>0</v>
      </c>
      <c r="L9"/>
      <c r="M9"/>
      <c r="O9" s="24"/>
    </row>
    <row r="10" spans="2:15" x14ac:dyDescent="0.25">
      <c r="B10" s="40" t="s">
        <v>33</v>
      </c>
      <c r="C10" s="1">
        <v>31</v>
      </c>
      <c r="D10" s="1">
        <v>25</v>
      </c>
      <c r="E10" s="41">
        <v>0.35483870967741937</v>
      </c>
      <c r="F10" s="41">
        <v>0.45161290322580644</v>
      </c>
      <c r="G10" s="41">
        <v>0.80645161290322576</v>
      </c>
      <c r="H10" s="41">
        <v>0.12903225806451613</v>
      </c>
      <c r="I10" s="41">
        <v>6.4516129032258063E-2</v>
      </c>
      <c r="J10"/>
      <c r="K10" s="68">
        <v>0</v>
      </c>
      <c r="L10"/>
      <c r="M10"/>
    </row>
    <row r="11" spans="2:15" x14ac:dyDescent="0.25">
      <c r="B11" s="40" t="s">
        <v>39</v>
      </c>
      <c r="C11" s="1">
        <v>30</v>
      </c>
      <c r="D11" s="1">
        <v>25</v>
      </c>
      <c r="E11" s="41">
        <v>0.43333333333333335</v>
      </c>
      <c r="F11" s="41">
        <v>0.4</v>
      </c>
      <c r="G11" s="41">
        <v>0.83333333333333337</v>
      </c>
      <c r="H11" s="41">
        <v>0.16666666666666666</v>
      </c>
      <c r="I11" s="41">
        <v>0</v>
      </c>
      <c r="J11"/>
      <c r="K11" s="68">
        <v>0</v>
      </c>
      <c r="L11"/>
      <c r="M11"/>
    </row>
    <row r="12" spans="2:15" x14ac:dyDescent="0.25">
      <c r="B12" s="69" t="s">
        <v>30</v>
      </c>
      <c r="C12" s="1">
        <v>21</v>
      </c>
      <c r="D12" s="1">
        <v>13</v>
      </c>
      <c r="E12" s="41">
        <v>0.23809523809523808</v>
      </c>
      <c r="F12" s="41">
        <v>0.38095238095238093</v>
      </c>
      <c r="G12" s="41">
        <v>0.61904761904761907</v>
      </c>
      <c r="H12" s="41">
        <v>0.2857142857142857</v>
      </c>
      <c r="I12" s="41">
        <v>9.5238095238095233E-2</v>
      </c>
      <c r="J12"/>
      <c r="K12" s="68"/>
      <c r="L12"/>
      <c r="M12"/>
    </row>
    <row r="13" spans="2:15" x14ac:dyDescent="0.25">
      <c r="B13" s="40" t="s">
        <v>36</v>
      </c>
      <c r="C13" s="1">
        <v>14</v>
      </c>
      <c r="D13" s="1">
        <v>12</v>
      </c>
      <c r="E13" s="41">
        <v>0.5</v>
      </c>
      <c r="F13" s="41">
        <v>0.35714285714285715</v>
      </c>
      <c r="G13" s="41">
        <v>0.8571428571428571</v>
      </c>
      <c r="H13" s="41">
        <v>0.14285714285714285</v>
      </c>
      <c r="I13" s="41">
        <v>0</v>
      </c>
      <c r="J13"/>
      <c r="K13" s="68">
        <v>0</v>
      </c>
      <c r="L13"/>
      <c r="M13"/>
    </row>
    <row r="14" spans="2:15" x14ac:dyDescent="0.25">
      <c r="B14" s="69" t="s">
        <v>27</v>
      </c>
      <c r="C14" s="1">
        <v>10</v>
      </c>
      <c r="D14" s="1">
        <v>7</v>
      </c>
      <c r="E14" s="41">
        <v>0.5</v>
      </c>
      <c r="F14" s="41">
        <v>0.2</v>
      </c>
      <c r="G14" s="41">
        <v>0.7</v>
      </c>
      <c r="H14" s="41">
        <v>0.2</v>
      </c>
      <c r="I14" s="41">
        <v>0.1</v>
      </c>
      <c r="J14"/>
      <c r="K14" s="68">
        <v>0</v>
      </c>
      <c r="L14"/>
      <c r="M14"/>
    </row>
    <row r="15" spans="2:15" x14ac:dyDescent="0.25">
      <c r="B15" s="40" t="s">
        <v>35</v>
      </c>
      <c r="C15" s="1">
        <v>5</v>
      </c>
      <c r="D15" s="1">
        <v>4</v>
      </c>
      <c r="E15" s="41">
        <v>0.4</v>
      </c>
      <c r="F15" s="41">
        <v>0.4</v>
      </c>
      <c r="G15" s="41">
        <v>0.8</v>
      </c>
      <c r="H15" s="41">
        <v>0.2</v>
      </c>
      <c r="I15" s="41">
        <v>0</v>
      </c>
      <c r="J15"/>
      <c r="K15" s="68">
        <v>0</v>
      </c>
      <c r="L15"/>
      <c r="M15"/>
    </row>
    <row r="16" spans="2:15" x14ac:dyDescent="0.25">
      <c r="B16" s="40" t="s">
        <v>37</v>
      </c>
      <c r="C16" s="1">
        <v>4</v>
      </c>
      <c r="D16" s="1">
        <v>1</v>
      </c>
      <c r="E16" s="41">
        <v>0</v>
      </c>
      <c r="F16" s="41">
        <v>0.25</v>
      </c>
      <c r="G16" s="41">
        <v>0.25</v>
      </c>
      <c r="H16" s="41">
        <v>0.75</v>
      </c>
      <c r="I16" s="41">
        <v>0</v>
      </c>
      <c r="K16" s="68">
        <v>0</v>
      </c>
    </row>
    <row r="17" spans="2:14" x14ac:dyDescent="0.25">
      <c r="B17" s="40" t="s">
        <v>34</v>
      </c>
      <c r="C17" s="1">
        <v>2</v>
      </c>
      <c r="D17" s="1">
        <v>2</v>
      </c>
      <c r="E17" s="41">
        <v>0.5</v>
      </c>
      <c r="F17" s="41">
        <v>0.5</v>
      </c>
      <c r="G17" s="41">
        <v>1</v>
      </c>
      <c r="H17" s="41">
        <v>0</v>
      </c>
      <c r="I17" s="41">
        <v>0</v>
      </c>
      <c r="K17" s="68">
        <v>0</v>
      </c>
    </row>
    <row r="18" spans="2:14" x14ac:dyDescent="0.25">
      <c r="B18" s="40" t="s">
        <v>40</v>
      </c>
      <c r="C18" s="1">
        <v>0</v>
      </c>
      <c r="D18" s="1">
        <v>0</v>
      </c>
      <c r="E18" s="41"/>
      <c r="F18" s="41"/>
      <c r="G18" s="41"/>
      <c r="H18" s="41"/>
      <c r="I18" s="41"/>
      <c r="K18" s="68">
        <v>0</v>
      </c>
    </row>
    <row r="19" spans="2:14" x14ac:dyDescent="0.25">
      <c r="B19" s="40" t="s">
        <v>31</v>
      </c>
      <c r="C19" s="1">
        <v>0</v>
      </c>
      <c r="D19" s="1">
        <v>0</v>
      </c>
      <c r="E19" s="41"/>
      <c r="F19" s="41"/>
      <c r="G19" s="41"/>
      <c r="H19" s="41"/>
      <c r="I19" s="41"/>
      <c r="K19" s="68">
        <v>0</v>
      </c>
    </row>
    <row r="20" spans="2:14" x14ac:dyDescent="0.25">
      <c r="B20" s="42" t="s">
        <v>41</v>
      </c>
      <c r="C20" s="1">
        <v>877</v>
      </c>
      <c r="D20" s="1">
        <v>648</v>
      </c>
      <c r="E20" s="41">
        <v>0.34435575826681869</v>
      </c>
      <c r="F20" s="41">
        <v>0.39452679589509693</v>
      </c>
      <c r="G20" s="41">
        <v>0.73888255416191562</v>
      </c>
      <c r="H20" s="41">
        <v>0.19156214367160776</v>
      </c>
      <c r="I20" s="41">
        <v>6.9555302166476624E-2</v>
      </c>
      <c r="K20" s="70">
        <f>SUM(K4:K17)</f>
        <v>0</v>
      </c>
      <c r="L20" s="4">
        <f>877</f>
        <v>877</v>
      </c>
      <c r="M20" s="71">
        <f>L20-K20</f>
        <v>877</v>
      </c>
      <c r="N20" s="74">
        <f>M20/L20</f>
        <v>1</v>
      </c>
    </row>
    <row r="21" spans="2:14" x14ac:dyDescent="0.25">
      <c r="C21"/>
      <c r="D21"/>
      <c r="E21"/>
      <c r="F21"/>
      <c r="G21"/>
      <c r="H21"/>
      <c r="K21" s="72">
        <f>640</f>
        <v>640</v>
      </c>
      <c r="L21" s="4"/>
      <c r="M21" s="4"/>
    </row>
    <row r="22" spans="2:14" x14ac:dyDescent="0.25">
      <c r="B22" s="5" t="s">
        <v>57</v>
      </c>
      <c r="C22"/>
      <c r="D22"/>
      <c r="E22"/>
      <c r="F22"/>
      <c r="G22"/>
      <c r="H22"/>
      <c r="K22" s="73">
        <f>K20-K21</f>
        <v>-640</v>
      </c>
      <c r="L22" s="4">
        <f>67%*L20</f>
        <v>587.59</v>
      </c>
      <c r="M22" s="4"/>
    </row>
    <row r="23" spans="2:14" x14ac:dyDescent="0.25">
      <c r="B23" t="s">
        <v>72</v>
      </c>
      <c r="C23"/>
      <c r="D23"/>
      <c r="E23"/>
      <c r="F23"/>
      <c r="G23"/>
      <c r="H23"/>
    </row>
    <row r="24" spans="2:14" x14ac:dyDescent="0.25">
      <c r="C24"/>
      <c r="D24"/>
      <c r="E24"/>
      <c r="F24"/>
      <c r="G24"/>
      <c r="H24"/>
    </row>
    <row r="25" spans="2:14" x14ac:dyDescent="0.25">
      <c r="B25" t="s">
        <v>71</v>
      </c>
      <c r="C25"/>
      <c r="D25"/>
      <c r="E25"/>
      <c r="F25"/>
      <c r="G25"/>
      <c r="H25"/>
    </row>
    <row r="26" spans="2:14" x14ac:dyDescent="0.25">
      <c r="C26"/>
      <c r="D26"/>
      <c r="E26"/>
      <c r="F26"/>
      <c r="G26"/>
      <c r="H26"/>
    </row>
    <row r="27" spans="2:14" x14ac:dyDescent="0.25">
      <c r="B27" t="s">
        <v>70</v>
      </c>
      <c r="C27"/>
      <c r="D27"/>
      <c r="E27"/>
      <c r="F27"/>
      <c r="G27"/>
      <c r="H27"/>
    </row>
    <row r="28" spans="2:14" x14ac:dyDescent="0.25">
      <c r="C28"/>
      <c r="D28"/>
      <c r="E28"/>
      <c r="F28"/>
      <c r="G28"/>
      <c r="H28"/>
    </row>
    <row r="29" spans="2:14" x14ac:dyDescent="0.25">
      <c r="B29" t="s">
        <v>73</v>
      </c>
      <c r="C29"/>
      <c r="D29"/>
      <c r="E29"/>
      <c r="F29"/>
      <c r="G29"/>
      <c r="H29"/>
    </row>
    <row r="30" spans="2:14" x14ac:dyDescent="0.25">
      <c r="C30"/>
      <c r="D30"/>
      <c r="E30"/>
      <c r="F30"/>
      <c r="G30"/>
      <c r="H30"/>
    </row>
    <row r="31" spans="2:14" x14ac:dyDescent="0.25">
      <c r="B31" t="s">
        <v>74</v>
      </c>
      <c r="C31"/>
      <c r="D31"/>
      <c r="E31"/>
      <c r="F31"/>
      <c r="G31"/>
      <c r="H31"/>
    </row>
    <row r="32" spans="2:14" x14ac:dyDescent="0.25">
      <c r="C32"/>
      <c r="D32"/>
      <c r="E32"/>
      <c r="F32"/>
      <c r="G32"/>
      <c r="H32"/>
    </row>
    <row r="33" spans="2:8" x14ac:dyDescent="0.25">
      <c r="B33" t="s">
        <v>65</v>
      </c>
      <c r="C33"/>
      <c r="D33"/>
      <c r="E33"/>
      <c r="F33"/>
      <c r="G33"/>
      <c r="H33"/>
    </row>
    <row r="34" spans="2:8" x14ac:dyDescent="0.25">
      <c r="C34"/>
      <c r="D34"/>
      <c r="E34"/>
      <c r="F34"/>
      <c r="G34"/>
      <c r="H34"/>
    </row>
    <row r="35" spans="2:8" x14ac:dyDescent="0.25">
      <c r="C35"/>
      <c r="D35"/>
      <c r="E35"/>
      <c r="F35"/>
      <c r="G35"/>
      <c r="H35"/>
    </row>
    <row r="36" spans="2:8" x14ac:dyDescent="0.25">
      <c r="C36"/>
      <c r="D36"/>
      <c r="E36"/>
      <c r="F36"/>
      <c r="G36"/>
      <c r="H36"/>
    </row>
    <row r="37" spans="2:8" x14ac:dyDescent="0.25">
      <c r="C37"/>
      <c r="D37"/>
      <c r="E37"/>
      <c r="F37"/>
      <c r="G37"/>
      <c r="H37"/>
    </row>
    <row r="38" spans="2:8" x14ac:dyDescent="0.25">
      <c r="C38"/>
      <c r="D38"/>
      <c r="E38"/>
      <c r="F38"/>
      <c r="G38"/>
      <c r="H38"/>
    </row>
    <row r="39" spans="2:8" x14ac:dyDescent="0.25">
      <c r="C39"/>
      <c r="D39"/>
      <c r="E39"/>
      <c r="F39"/>
      <c r="G39"/>
      <c r="H39"/>
    </row>
    <row r="40" spans="2:8" x14ac:dyDescent="0.25">
      <c r="C40"/>
      <c r="D40"/>
      <c r="E40"/>
      <c r="F40"/>
      <c r="G40"/>
      <c r="H40"/>
    </row>
    <row r="41" spans="2:8" x14ac:dyDescent="0.25">
      <c r="C41"/>
      <c r="D41"/>
      <c r="E41"/>
      <c r="F41"/>
      <c r="G41"/>
      <c r="H41"/>
    </row>
    <row r="42" spans="2:8" x14ac:dyDescent="0.25">
      <c r="C42"/>
      <c r="D42"/>
      <c r="E42"/>
      <c r="F42"/>
      <c r="G42"/>
      <c r="H42"/>
    </row>
    <row r="43" spans="2:8" x14ac:dyDescent="0.25">
      <c r="C43"/>
      <c r="D43"/>
      <c r="E43"/>
      <c r="F43"/>
      <c r="G43"/>
      <c r="H43"/>
    </row>
    <row r="44" spans="2:8" x14ac:dyDescent="0.25">
      <c r="C44"/>
      <c r="D44"/>
      <c r="E44"/>
      <c r="F44"/>
      <c r="G44"/>
      <c r="H44"/>
    </row>
    <row r="45" spans="2:8" x14ac:dyDescent="0.25">
      <c r="C45"/>
      <c r="D45"/>
      <c r="E45"/>
      <c r="F45"/>
      <c r="G45"/>
      <c r="H45"/>
    </row>
    <row r="46" spans="2:8" x14ac:dyDescent="0.25">
      <c r="C46"/>
      <c r="D46"/>
      <c r="E46"/>
      <c r="F46"/>
      <c r="G46"/>
      <c r="H46"/>
    </row>
    <row r="47" spans="2:8" x14ac:dyDescent="0.25">
      <c r="C47"/>
      <c r="D47"/>
      <c r="E47"/>
      <c r="F47"/>
      <c r="G47"/>
      <c r="H47"/>
    </row>
    <row r="48" spans="2:8" x14ac:dyDescent="0.25">
      <c r="C48"/>
      <c r="D48"/>
      <c r="E48"/>
      <c r="F48"/>
      <c r="G48"/>
      <c r="H48"/>
    </row>
    <row r="49" spans="3:8" x14ac:dyDescent="0.25">
      <c r="C49"/>
      <c r="D49"/>
      <c r="E49"/>
      <c r="F49"/>
      <c r="G49"/>
      <c r="H49"/>
    </row>
    <row r="50" spans="3:8" x14ac:dyDescent="0.25">
      <c r="C50"/>
      <c r="D50"/>
      <c r="E50"/>
      <c r="F50"/>
      <c r="G50"/>
      <c r="H50"/>
    </row>
    <row r="51" spans="3:8" x14ac:dyDescent="0.25">
      <c r="C51"/>
      <c r="D51"/>
      <c r="E51"/>
      <c r="F51"/>
      <c r="G51"/>
      <c r="H51"/>
    </row>
    <row r="52" spans="3:8" x14ac:dyDescent="0.25">
      <c r="C52"/>
      <c r="D52"/>
      <c r="E52"/>
      <c r="F52"/>
      <c r="G52"/>
      <c r="H52"/>
    </row>
    <row r="53" spans="3:8" x14ac:dyDescent="0.25">
      <c r="C53"/>
      <c r="D53"/>
      <c r="E53"/>
      <c r="F53"/>
      <c r="G53"/>
      <c r="H53"/>
    </row>
    <row r="54" spans="3:8" x14ac:dyDescent="0.25">
      <c r="C54"/>
      <c r="D54"/>
      <c r="E54"/>
      <c r="F54"/>
      <c r="G54"/>
      <c r="H54"/>
    </row>
    <row r="55" spans="3:8" x14ac:dyDescent="0.25">
      <c r="C55"/>
      <c r="D55"/>
      <c r="E55"/>
      <c r="F55"/>
      <c r="G55"/>
      <c r="H55"/>
    </row>
    <row r="56" spans="3:8" x14ac:dyDescent="0.25">
      <c r="C56"/>
      <c r="D56"/>
      <c r="E56"/>
      <c r="F56"/>
      <c r="G56"/>
      <c r="H56"/>
    </row>
    <row r="57" spans="3:8" x14ac:dyDescent="0.25">
      <c r="C57"/>
      <c r="D57"/>
      <c r="E57"/>
      <c r="F57"/>
      <c r="G57"/>
      <c r="H57"/>
    </row>
    <row r="58" spans="3:8" x14ac:dyDescent="0.25">
      <c r="C58"/>
      <c r="D58"/>
      <c r="E58"/>
      <c r="F58"/>
      <c r="G58"/>
      <c r="H58"/>
    </row>
    <row r="59" spans="3:8" x14ac:dyDescent="0.25">
      <c r="C59"/>
      <c r="D59"/>
      <c r="E59"/>
      <c r="F59"/>
      <c r="G59"/>
      <c r="H59"/>
    </row>
    <row r="60" spans="3:8" x14ac:dyDescent="0.25">
      <c r="C60"/>
      <c r="D60"/>
      <c r="E60"/>
      <c r="F60"/>
      <c r="G60"/>
      <c r="H60"/>
    </row>
    <row r="61" spans="3:8" x14ac:dyDescent="0.25">
      <c r="C61"/>
      <c r="D61"/>
      <c r="E61"/>
      <c r="F61"/>
      <c r="G61"/>
      <c r="H61"/>
    </row>
    <row r="62" spans="3:8" x14ac:dyDescent="0.25">
      <c r="C62"/>
      <c r="D62"/>
      <c r="E62"/>
      <c r="F62"/>
      <c r="G62"/>
      <c r="H62"/>
    </row>
    <row r="63" spans="3:8" x14ac:dyDescent="0.25">
      <c r="C63"/>
      <c r="D63"/>
      <c r="E63"/>
      <c r="F63"/>
      <c r="G63"/>
      <c r="H63"/>
    </row>
    <row r="64" spans="3:8" x14ac:dyDescent="0.25">
      <c r="C64"/>
      <c r="D64"/>
      <c r="E64"/>
      <c r="F64"/>
      <c r="G64"/>
      <c r="H64"/>
    </row>
    <row r="65" spans="3:8" x14ac:dyDescent="0.25">
      <c r="C65"/>
      <c r="D65"/>
      <c r="E65"/>
      <c r="F65"/>
      <c r="G65"/>
      <c r="H65"/>
    </row>
    <row r="66" spans="3:8" x14ac:dyDescent="0.25">
      <c r="C66"/>
      <c r="D66"/>
      <c r="E66"/>
      <c r="F66"/>
      <c r="G66"/>
      <c r="H66"/>
    </row>
    <row r="67" spans="3:8" x14ac:dyDescent="0.25">
      <c r="C67"/>
      <c r="D67"/>
      <c r="E67"/>
      <c r="F67"/>
      <c r="G67"/>
      <c r="H67"/>
    </row>
    <row r="68" spans="3:8" x14ac:dyDescent="0.25">
      <c r="C68"/>
      <c r="D68"/>
      <c r="E68"/>
      <c r="F68"/>
      <c r="G68"/>
      <c r="H68"/>
    </row>
    <row r="69" spans="3:8" x14ac:dyDescent="0.25">
      <c r="C69"/>
      <c r="D69"/>
      <c r="E69"/>
      <c r="F69"/>
      <c r="G69"/>
      <c r="H69"/>
    </row>
    <row r="70" spans="3:8" x14ac:dyDescent="0.25">
      <c r="C70"/>
      <c r="D70"/>
      <c r="E70"/>
      <c r="F70"/>
      <c r="G70"/>
      <c r="H70"/>
    </row>
    <row r="71" spans="3:8" x14ac:dyDescent="0.25">
      <c r="C71"/>
      <c r="D71"/>
      <c r="E71"/>
      <c r="F71"/>
      <c r="G71"/>
      <c r="H71"/>
    </row>
    <row r="72" spans="3:8" x14ac:dyDescent="0.25">
      <c r="C72"/>
      <c r="D72"/>
      <c r="E72"/>
      <c r="F72"/>
      <c r="G72"/>
      <c r="H72"/>
    </row>
    <row r="73" spans="3:8" x14ac:dyDescent="0.25">
      <c r="C73"/>
      <c r="D73"/>
      <c r="E73"/>
      <c r="F73"/>
      <c r="G73"/>
      <c r="H73"/>
    </row>
    <row r="74" spans="3:8" x14ac:dyDescent="0.25">
      <c r="C74"/>
      <c r="D74"/>
      <c r="E74"/>
      <c r="F74"/>
      <c r="G74"/>
      <c r="H74"/>
    </row>
    <row r="75" spans="3:8" x14ac:dyDescent="0.25">
      <c r="C75"/>
      <c r="D75"/>
      <c r="E75"/>
      <c r="F75"/>
      <c r="G75"/>
      <c r="H75"/>
    </row>
    <row r="76" spans="3:8" x14ac:dyDescent="0.25">
      <c r="C76"/>
      <c r="D76"/>
      <c r="E76"/>
      <c r="F76"/>
      <c r="G76"/>
      <c r="H76"/>
    </row>
    <row r="77" spans="3:8" x14ac:dyDescent="0.25">
      <c r="C77"/>
      <c r="D77"/>
      <c r="E77"/>
      <c r="F77"/>
      <c r="G77"/>
      <c r="H77"/>
    </row>
    <row r="78" spans="3:8" x14ac:dyDescent="0.25">
      <c r="C78"/>
      <c r="D78"/>
      <c r="E78"/>
      <c r="F78"/>
      <c r="G78"/>
      <c r="H78"/>
    </row>
    <row r="79" spans="3:8" x14ac:dyDescent="0.25">
      <c r="C79"/>
      <c r="D79"/>
      <c r="E79"/>
      <c r="F79"/>
      <c r="G79"/>
      <c r="H79"/>
    </row>
    <row r="80" spans="3:8" x14ac:dyDescent="0.25">
      <c r="C80"/>
      <c r="D80"/>
      <c r="E80"/>
      <c r="F80"/>
      <c r="G80"/>
      <c r="H80"/>
    </row>
    <row r="81" spans="3:8" x14ac:dyDescent="0.25">
      <c r="C81"/>
      <c r="D81"/>
      <c r="E81"/>
      <c r="F81"/>
      <c r="G81"/>
      <c r="H81"/>
    </row>
    <row r="82" spans="3:8" x14ac:dyDescent="0.25">
      <c r="C82"/>
      <c r="D82"/>
      <c r="E82"/>
      <c r="F82"/>
      <c r="G82"/>
      <c r="H82"/>
    </row>
    <row r="83" spans="3:8" x14ac:dyDescent="0.25">
      <c r="C83"/>
      <c r="D83"/>
      <c r="E83"/>
      <c r="F83"/>
      <c r="G83"/>
      <c r="H83"/>
    </row>
    <row r="84" spans="3:8" x14ac:dyDescent="0.25">
      <c r="C84"/>
      <c r="D84"/>
      <c r="E84"/>
      <c r="F84"/>
      <c r="G84"/>
      <c r="H84"/>
    </row>
    <row r="85" spans="3:8" x14ac:dyDescent="0.25">
      <c r="C85"/>
      <c r="D85"/>
      <c r="E85"/>
      <c r="F85"/>
      <c r="G85"/>
      <c r="H85"/>
    </row>
    <row r="86" spans="3:8" x14ac:dyDescent="0.25">
      <c r="C86"/>
      <c r="D86"/>
      <c r="E86"/>
      <c r="F86"/>
      <c r="G86"/>
      <c r="H86"/>
    </row>
    <row r="87" spans="3:8" x14ac:dyDescent="0.25">
      <c r="C87"/>
      <c r="D87"/>
      <c r="E87"/>
      <c r="F87"/>
      <c r="G87"/>
      <c r="H87"/>
    </row>
    <row r="88" spans="3:8" x14ac:dyDescent="0.25">
      <c r="C88"/>
      <c r="D88"/>
      <c r="E88"/>
      <c r="F88"/>
      <c r="G88"/>
      <c r="H88"/>
    </row>
    <row r="89" spans="3:8" x14ac:dyDescent="0.25">
      <c r="C89"/>
      <c r="D89"/>
      <c r="E89"/>
      <c r="F89"/>
      <c r="G89"/>
      <c r="H89"/>
    </row>
    <row r="90" spans="3:8" x14ac:dyDescent="0.25">
      <c r="C90"/>
      <c r="D90"/>
      <c r="E90"/>
      <c r="F90"/>
      <c r="G90"/>
      <c r="H90"/>
    </row>
    <row r="91" spans="3:8" x14ac:dyDescent="0.25">
      <c r="C91"/>
      <c r="D91"/>
      <c r="E91"/>
      <c r="F91"/>
      <c r="G91"/>
      <c r="H91"/>
    </row>
    <row r="92" spans="3:8" x14ac:dyDescent="0.25">
      <c r="C92"/>
      <c r="D92"/>
      <c r="E92"/>
      <c r="F92"/>
      <c r="G92"/>
      <c r="H92"/>
    </row>
    <row r="93" spans="3:8" x14ac:dyDescent="0.25">
      <c r="C93"/>
      <c r="D93"/>
      <c r="E93"/>
      <c r="F93"/>
      <c r="G93"/>
      <c r="H93"/>
    </row>
    <row r="94" spans="3:8" x14ac:dyDescent="0.25">
      <c r="C94"/>
      <c r="D94"/>
      <c r="E94"/>
      <c r="F94"/>
      <c r="G94"/>
      <c r="H94"/>
    </row>
    <row r="95" spans="3:8" x14ac:dyDescent="0.25">
      <c r="C95"/>
      <c r="D95"/>
      <c r="E95"/>
      <c r="F95"/>
      <c r="G95"/>
      <c r="H95"/>
    </row>
    <row r="96" spans="3:8" x14ac:dyDescent="0.25">
      <c r="C96"/>
      <c r="D96"/>
      <c r="E96"/>
      <c r="F96"/>
      <c r="G96"/>
      <c r="H96"/>
    </row>
    <row r="97" spans="3:8" x14ac:dyDescent="0.25">
      <c r="C97"/>
      <c r="D97"/>
      <c r="E97"/>
      <c r="F97"/>
      <c r="G97"/>
      <c r="H97"/>
    </row>
    <row r="98" spans="3:8" x14ac:dyDescent="0.25">
      <c r="C98"/>
      <c r="D98"/>
      <c r="E98"/>
      <c r="F98"/>
      <c r="G98"/>
      <c r="H98"/>
    </row>
    <row r="99" spans="3:8" x14ac:dyDescent="0.25">
      <c r="C99"/>
      <c r="D99"/>
      <c r="E99"/>
      <c r="F99"/>
      <c r="G99"/>
      <c r="H99"/>
    </row>
    <row r="100" spans="3:8" x14ac:dyDescent="0.25">
      <c r="C100"/>
      <c r="D100"/>
      <c r="E100"/>
      <c r="F100"/>
      <c r="G100"/>
      <c r="H100"/>
    </row>
    <row r="101" spans="3:8" x14ac:dyDescent="0.25">
      <c r="C101"/>
      <c r="D101"/>
      <c r="E101"/>
      <c r="F101"/>
      <c r="G101"/>
      <c r="H101"/>
    </row>
    <row r="102" spans="3:8" x14ac:dyDescent="0.25">
      <c r="C102"/>
      <c r="D102"/>
      <c r="E102"/>
      <c r="F102"/>
      <c r="G102"/>
      <c r="H102"/>
    </row>
    <row r="103" spans="3:8" x14ac:dyDescent="0.25">
      <c r="C103"/>
      <c r="D103"/>
      <c r="E103"/>
      <c r="F103"/>
      <c r="G103"/>
      <c r="H103"/>
    </row>
    <row r="104" spans="3:8" x14ac:dyDescent="0.25">
      <c r="C104"/>
      <c r="D104"/>
      <c r="E104"/>
      <c r="F104"/>
      <c r="G104"/>
      <c r="H104"/>
    </row>
    <row r="105" spans="3:8" x14ac:dyDescent="0.25">
      <c r="C105"/>
      <c r="D105"/>
      <c r="E105"/>
      <c r="F105"/>
      <c r="G105"/>
      <c r="H105"/>
    </row>
    <row r="106" spans="3:8" x14ac:dyDescent="0.25">
      <c r="C106"/>
      <c r="D106"/>
      <c r="E106"/>
      <c r="F106"/>
      <c r="G106"/>
      <c r="H106"/>
    </row>
    <row r="107" spans="3:8" x14ac:dyDescent="0.25">
      <c r="C107"/>
      <c r="D107"/>
      <c r="E107"/>
      <c r="F107"/>
      <c r="G107"/>
      <c r="H107"/>
    </row>
    <row r="108" spans="3:8" x14ac:dyDescent="0.25">
      <c r="C108"/>
      <c r="D108"/>
      <c r="E108"/>
      <c r="F108"/>
      <c r="G108"/>
      <c r="H108"/>
    </row>
    <row r="109" spans="3:8" x14ac:dyDescent="0.25">
      <c r="C109"/>
      <c r="D109"/>
      <c r="E109"/>
      <c r="F109"/>
      <c r="G109"/>
      <c r="H109"/>
    </row>
    <row r="110" spans="3:8" x14ac:dyDescent="0.25">
      <c r="C110"/>
      <c r="D110"/>
      <c r="E110"/>
      <c r="F110"/>
      <c r="G110"/>
      <c r="H110"/>
    </row>
    <row r="111" spans="3:8" x14ac:dyDescent="0.25">
      <c r="C111"/>
      <c r="D111"/>
      <c r="E111"/>
      <c r="F111"/>
      <c r="G111"/>
      <c r="H111"/>
    </row>
    <row r="112" spans="3:8" x14ac:dyDescent="0.25">
      <c r="C112"/>
      <c r="D112"/>
      <c r="E112"/>
      <c r="F112"/>
      <c r="G112"/>
      <c r="H112"/>
    </row>
    <row r="113" spans="3:8" x14ac:dyDescent="0.25">
      <c r="C113"/>
      <c r="D113"/>
      <c r="E113"/>
      <c r="F113"/>
      <c r="G113"/>
      <c r="H113"/>
    </row>
    <row r="114" spans="3:8" x14ac:dyDescent="0.25">
      <c r="C114"/>
      <c r="D114"/>
      <c r="E114"/>
      <c r="F114"/>
      <c r="G114"/>
      <c r="H114"/>
    </row>
    <row r="115" spans="3:8" x14ac:dyDescent="0.25">
      <c r="C115"/>
      <c r="D115"/>
      <c r="E115"/>
      <c r="F115"/>
      <c r="G115"/>
      <c r="H115"/>
    </row>
    <row r="116" spans="3:8" x14ac:dyDescent="0.25">
      <c r="C116"/>
      <c r="D116"/>
      <c r="E116"/>
      <c r="F116"/>
      <c r="G116"/>
      <c r="H116"/>
    </row>
    <row r="117" spans="3:8" x14ac:dyDescent="0.25">
      <c r="C117"/>
      <c r="D117"/>
      <c r="E117"/>
      <c r="F117"/>
      <c r="G117"/>
      <c r="H117"/>
    </row>
    <row r="118" spans="3:8" x14ac:dyDescent="0.25">
      <c r="C118"/>
      <c r="D118"/>
      <c r="E118"/>
      <c r="F118"/>
      <c r="G118"/>
      <c r="H118"/>
    </row>
    <row r="119" spans="3:8" x14ac:dyDescent="0.25">
      <c r="C119"/>
      <c r="D119"/>
      <c r="E119"/>
      <c r="F119"/>
      <c r="G119"/>
      <c r="H119"/>
    </row>
    <row r="120" spans="3:8" x14ac:dyDescent="0.25">
      <c r="C120"/>
      <c r="D120"/>
      <c r="E120"/>
      <c r="F120"/>
      <c r="G120"/>
      <c r="H120"/>
    </row>
    <row r="121" spans="3:8" x14ac:dyDescent="0.25">
      <c r="C121"/>
      <c r="D121"/>
      <c r="E121"/>
      <c r="F121"/>
      <c r="G121"/>
      <c r="H121"/>
    </row>
    <row r="122" spans="3:8" x14ac:dyDescent="0.25">
      <c r="C122"/>
      <c r="D122"/>
      <c r="E122"/>
      <c r="F122"/>
      <c r="G122"/>
      <c r="H122"/>
    </row>
    <row r="123" spans="3:8" x14ac:dyDescent="0.25">
      <c r="C123"/>
      <c r="D123"/>
      <c r="E123"/>
      <c r="F123"/>
      <c r="G123"/>
      <c r="H123"/>
    </row>
    <row r="124" spans="3:8" x14ac:dyDescent="0.25">
      <c r="C124"/>
      <c r="D124"/>
      <c r="E124"/>
      <c r="F124"/>
      <c r="G124"/>
      <c r="H124"/>
    </row>
    <row r="125" spans="3:8" x14ac:dyDescent="0.25">
      <c r="C125"/>
      <c r="D125"/>
      <c r="E125"/>
      <c r="F125"/>
      <c r="G125"/>
      <c r="H125"/>
    </row>
    <row r="126" spans="3:8" x14ac:dyDescent="0.25">
      <c r="C126"/>
      <c r="D126"/>
      <c r="E126"/>
      <c r="F126"/>
      <c r="G126"/>
      <c r="H126"/>
    </row>
    <row r="127" spans="3:8" x14ac:dyDescent="0.25">
      <c r="C127"/>
      <c r="D127"/>
      <c r="E127"/>
      <c r="F127"/>
      <c r="G127"/>
      <c r="H127"/>
    </row>
    <row r="128" spans="3:8" x14ac:dyDescent="0.25">
      <c r="C128"/>
      <c r="D128"/>
      <c r="E128"/>
      <c r="F128"/>
      <c r="G128"/>
      <c r="H128"/>
    </row>
    <row r="129" spans="3:8" x14ac:dyDescent="0.25">
      <c r="C129"/>
      <c r="D129"/>
      <c r="E129"/>
      <c r="F129"/>
      <c r="G129"/>
      <c r="H129"/>
    </row>
    <row r="130" spans="3:8" x14ac:dyDescent="0.25">
      <c r="C130"/>
      <c r="D130"/>
      <c r="E130"/>
      <c r="F130"/>
      <c r="G130"/>
      <c r="H130"/>
    </row>
    <row r="131" spans="3:8" x14ac:dyDescent="0.25">
      <c r="C131"/>
      <c r="D131"/>
      <c r="E131"/>
      <c r="F131"/>
      <c r="G131"/>
      <c r="H131"/>
    </row>
    <row r="132" spans="3:8" x14ac:dyDescent="0.25">
      <c r="C132"/>
      <c r="D132"/>
      <c r="E132"/>
      <c r="F132"/>
      <c r="G132"/>
      <c r="H132"/>
    </row>
    <row r="133" spans="3:8" x14ac:dyDescent="0.25">
      <c r="C133"/>
      <c r="D133"/>
      <c r="E133"/>
      <c r="F133"/>
      <c r="G133"/>
      <c r="H133"/>
    </row>
    <row r="134" spans="3:8" x14ac:dyDescent="0.25">
      <c r="C134"/>
      <c r="D134"/>
      <c r="E134"/>
      <c r="F134"/>
      <c r="G134"/>
      <c r="H134"/>
    </row>
    <row r="135" spans="3:8" x14ac:dyDescent="0.25">
      <c r="C135"/>
      <c r="D135"/>
      <c r="E135"/>
      <c r="F135"/>
      <c r="G135"/>
      <c r="H135"/>
    </row>
    <row r="136" spans="3:8" x14ac:dyDescent="0.25">
      <c r="C136"/>
      <c r="D136"/>
      <c r="E136"/>
      <c r="F136"/>
      <c r="G136"/>
      <c r="H136"/>
    </row>
    <row r="137" spans="3:8" x14ac:dyDescent="0.25">
      <c r="C137"/>
      <c r="D137"/>
      <c r="E137"/>
      <c r="F137"/>
      <c r="G137"/>
      <c r="H137"/>
    </row>
    <row r="138" spans="3:8" x14ac:dyDescent="0.25">
      <c r="C138"/>
      <c r="D138"/>
      <c r="E138"/>
      <c r="F138"/>
      <c r="G138"/>
      <c r="H138"/>
    </row>
    <row r="139" spans="3:8" x14ac:dyDescent="0.25">
      <c r="C139"/>
      <c r="D139"/>
      <c r="E139"/>
      <c r="F139"/>
      <c r="G139"/>
      <c r="H139"/>
    </row>
    <row r="140" spans="3:8" x14ac:dyDescent="0.25">
      <c r="C140"/>
      <c r="D140"/>
      <c r="E140"/>
      <c r="F140"/>
      <c r="G140"/>
      <c r="H140"/>
    </row>
    <row r="141" spans="3:8" x14ac:dyDescent="0.25">
      <c r="C141"/>
      <c r="D141"/>
      <c r="E141"/>
      <c r="F141"/>
      <c r="G141"/>
      <c r="H141"/>
    </row>
    <row r="142" spans="3:8" x14ac:dyDescent="0.25">
      <c r="C142"/>
      <c r="D142"/>
      <c r="E142"/>
      <c r="F142"/>
      <c r="G142"/>
      <c r="H142"/>
    </row>
    <row r="143" spans="3:8" x14ac:dyDescent="0.25">
      <c r="C143"/>
      <c r="D143"/>
      <c r="E143"/>
      <c r="F143"/>
      <c r="G143"/>
      <c r="H143"/>
    </row>
    <row r="144" spans="3:8" x14ac:dyDescent="0.25">
      <c r="C144"/>
      <c r="D144"/>
      <c r="E144"/>
      <c r="F144"/>
      <c r="G144"/>
      <c r="H144"/>
    </row>
    <row r="145" spans="3:8" x14ac:dyDescent="0.25">
      <c r="C145"/>
      <c r="D145"/>
      <c r="E145"/>
      <c r="F145"/>
      <c r="G145"/>
      <c r="H145"/>
    </row>
    <row r="146" spans="3:8" x14ac:dyDescent="0.25">
      <c r="C146"/>
      <c r="D146"/>
      <c r="E146"/>
      <c r="F146"/>
      <c r="G146"/>
      <c r="H146"/>
    </row>
    <row r="147" spans="3:8" x14ac:dyDescent="0.25">
      <c r="C147"/>
      <c r="D147"/>
      <c r="E147"/>
      <c r="F147"/>
      <c r="G147"/>
      <c r="H147"/>
    </row>
    <row r="148" spans="3:8" x14ac:dyDescent="0.25">
      <c r="C148"/>
      <c r="D148"/>
      <c r="E148"/>
      <c r="F148"/>
      <c r="G148"/>
      <c r="H148"/>
    </row>
    <row r="149" spans="3:8" x14ac:dyDescent="0.25">
      <c r="C149"/>
      <c r="D149"/>
      <c r="E149"/>
      <c r="F149"/>
      <c r="G149"/>
      <c r="H149"/>
    </row>
    <row r="150" spans="3:8" x14ac:dyDescent="0.25">
      <c r="C150"/>
      <c r="D150"/>
      <c r="E150"/>
      <c r="F150"/>
      <c r="G150"/>
      <c r="H150"/>
    </row>
    <row r="151" spans="3:8" x14ac:dyDescent="0.25">
      <c r="C151"/>
      <c r="D151"/>
      <c r="E151"/>
      <c r="F151"/>
      <c r="G151"/>
      <c r="H151"/>
    </row>
    <row r="152" spans="3:8" x14ac:dyDescent="0.25">
      <c r="C152"/>
      <c r="D152"/>
      <c r="E152"/>
      <c r="F152"/>
      <c r="G152"/>
      <c r="H152"/>
    </row>
    <row r="153" spans="3:8" x14ac:dyDescent="0.25">
      <c r="C153"/>
      <c r="D153"/>
      <c r="E153"/>
      <c r="F153"/>
      <c r="G153"/>
      <c r="H153"/>
    </row>
    <row r="154" spans="3:8" x14ac:dyDescent="0.25">
      <c r="C154"/>
      <c r="D154"/>
      <c r="E154"/>
      <c r="F154"/>
      <c r="G154"/>
      <c r="H154"/>
    </row>
    <row r="155" spans="3:8" x14ac:dyDescent="0.25">
      <c r="C155"/>
      <c r="D155"/>
      <c r="E155"/>
      <c r="F155"/>
      <c r="G155"/>
      <c r="H155"/>
    </row>
    <row r="156" spans="3:8" x14ac:dyDescent="0.25">
      <c r="C156"/>
      <c r="D156"/>
      <c r="E156"/>
      <c r="F156"/>
      <c r="G156"/>
      <c r="H156"/>
    </row>
    <row r="157" spans="3:8" x14ac:dyDescent="0.25">
      <c r="C157"/>
      <c r="D157"/>
      <c r="E157"/>
      <c r="F157"/>
      <c r="G157"/>
      <c r="H157"/>
    </row>
    <row r="158" spans="3:8" x14ac:dyDescent="0.25">
      <c r="C158"/>
      <c r="D158"/>
      <c r="E158"/>
      <c r="F158"/>
      <c r="G158"/>
      <c r="H158"/>
    </row>
    <row r="159" spans="3:8" x14ac:dyDescent="0.25">
      <c r="C159"/>
      <c r="D159"/>
      <c r="E159"/>
      <c r="F159"/>
      <c r="G159"/>
      <c r="H159"/>
    </row>
    <row r="160" spans="3:8" x14ac:dyDescent="0.25">
      <c r="C160"/>
      <c r="D160"/>
      <c r="E160"/>
      <c r="F160"/>
      <c r="G160"/>
      <c r="H160"/>
    </row>
    <row r="161" spans="3:8" x14ac:dyDescent="0.25">
      <c r="C161"/>
      <c r="D161"/>
      <c r="E161"/>
      <c r="F161"/>
      <c r="G161"/>
      <c r="H161"/>
    </row>
    <row r="162" spans="3:8" x14ac:dyDescent="0.25">
      <c r="C162"/>
      <c r="D162"/>
      <c r="E162"/>
      <c r="F162"/>
      <c r="G162"/>
      <c r="H162"/>
    </row>
    <row r="163" spans="3:8" x14ac:dyDescent="0.25">
      <c r="C163"/>
      <c r="D163"/>
      <c r="E163"/>
      <c r="F163"/>
      <c r="G163"/>
      <c r="H163"/>
    </row>
    <row r="164" spans="3:8" x14ac:dyDescent="0.25">
      <c r="C164"/>
      <c r="D164"/>
      <c r="E164"/>
      <c r="F164"/>
      <c r="G164"/>
      <c r="H164"/>
    </row>
    <row r="165" spans="3:8" x14ac:dyDescent="0.25">
      <c r="C165"/>
      <c r="D165"/>
      <c r="E165"/>
      <c r="F165"/>
      <c r="G165"/>
      <c r="H165"/>
    </row>
    <row r="166" spans="3:8" x14ac:dyDescent="0.25">
      <c r="C166"/>
      <c r="D166"/>
      <c r="E166"/>
      <c r="F166"/>
      <c r="G166"/>
      <c r="H166"/>
    </row>
    <row r="167" spans="3:8" x14ac:dyDescent="0.25">
      <c r="C167"/>
      <c r="D167"/>
      <c r="E167"/>
      <c r="F167"/>
      <c r="G167"/>
      <c r="H167"/>
    </row>
    <row r="168" spans="3:8" x14ac:dyDescent="0.25">
      <c r="C168"/>
      <c r="D168"/>
      <c r="E168"/>
      <c r="F168"/>
      <c r="G168"/>
      <c r="H168"/>
    </row>
    <row r="169" spans="3:8" x14ac:dyDescent="0.25">
      <c r="C169"/>
      <c r="D169"/>
      <c r="E169"/>
      <c r="F169"/>
      <c r="G169"/>
      <c r="H169"/>
    </row>
    <row r="170" spans="3:8" x14ac:dyDescent="0.25">
      <c r="C170"/>
      <c r="D170"/>
      <c r="E170"/>
      <c r="F170"/>
      <c r="G170"/>
      <c r="H170"/>
    </row>
    <row r="171" spans="3:8" x14ac:dyDescent="0.25">
      <c r="C171"/>
      <c r="D171"/>
      <c r="E171"/>
      <c r="F171"/>
      <c r="G171"/>
      <c r="H171"/>
    </row>
    <row r="172" spans="3:8" x14ac:dyDescent="0.25">
      <c r="C172"/>
      <c r="D172"/>
      <c r="E172"/>
      <c r="F172"/>
      <c r="G172"/>
      <c r="H172"/>
    </row>
    <row r="173" spans="3:8" x14ac:dyDescent="0.25">
      <c r="C173"/>
      <c r="D173"/>
      <c r="E173"/>
      <c r="F173"/>
      <c r="G173"/>
      <c r="H173"/>
    </row>
    <row r="174" spans="3:8" x14ac:dyDescent="0.25">
      <c r="C174"/>
      <c r="D174"/>
      <c r="E174"/>
      <c r="F174"/>
      <c r="G174"/>
      <c r="H174"/>
    </row>
    <row r="175" spans="3:8" x14ac:dyDescent="0.25">
      <c r="C175"/>
      <c r="D175"/>
      <c r="E175"/>
      <c r="F175"/>
      <c r="G175"/>
      <c r="H175"/>
    </row>
    <row r="176" spans="3:8" x14ac:dyDescent="0.25">
      <c r="C176"/>
      <c r="D176"/>
      <c r="E176"/>
      <c r="F176"/>
      <c r="G176"/>
      <c r="H176"/>
    </row>
    <row r="177" spans="3:8" x14ac:dyDescent="0.25">
      <c r="C177"/>
      <c r="D177"/>
      <c r="E177"/>
      <c r="F177"/>
      <c r="G177"/>
      <c r="H177"/>
    </row>
    <row r="178" spans="3:8" x14ac:dyDescent="0.25">
      <c r="C178"/>
      <c r="D178"/>
      <c r="E178"/>
      <c r="F178"/>
      <c r="G178"/>
      <c r="H178"/>
    </row>
    <row r="179" spans="3:8" x14ac:dyDescent="0.25">
      <c r="C179"/>
      <c r="D179"/>
      <c r="E179"/>
      <c r="F179"/>
      <c r="G179"/>
      <c r="H179"/>
    </row>
    <row r="180" spans="3:8" x14ac:dyDescent="0.25">
      <c r="C180"/>
      <c r="D180"/>
      <c r="E180"/>
      <c r="F180"/>
      <c r="G180"/>
      <c r="H180"/>
    </row>
    <row r="181" spans="3:8" x14ac:dyDescent="0.25">
      <c r="C181"/>
      <c r="D181"/>
      <c r="E181"/>
      <c r="F181"/>
      <c r="G181"/>
      <c r="H181"/>
    </row>
    <row r="182" spans="3:8" x14ac:dyDescent="0.25">
      <c r="C182"/>
      <c r="D182"/>
      <c r="E182"/>
      <c r="F182"/>
      <c r="G182"/>
      <c r="H182"/>
    </row>
    <row r="183" spans="3:8" x14ac:dyDescent="0.25">
      <c r="C183"/>
      <c r="D183"/>
      <c r="E183"/>
      <c r="F183"/>
      <c r="G183"/>
      <c r="H183"/>
    </row>
    <row r="184" spans="3:8" x14ac:dyDescent="0.25">
      <c r="C184"/>
      <c r="D184"/>
      <c r="E184"/>
      <c r="F184"/>
      <c r="G184"/>
      <c r="H184"/>
    </row>
    <row r="185" spans="3:8" x14ac:dyDescent="0.25">
      <c r="C185"/>
      <c r="D185"/>
      <c r="E185"/>
      <c r="F185"/>
      <c r="G185"/>
      <c r="H185"/>
    </row>
    <row r="186" spans="3:8" x14ac:dyDescent="0.25">
      <c r="C186"/>
      <c r="D186"/>
      <c r="E186"/>
      <c r="F186"/>
      <c r="G186"/>
      <c r="H186"/>
    </row>
    <row r="187" spans="3:8" x14ac:dyDescent="0.25">
      <c r="C187"/>
      <c r="D187"/>
      <c r="E187"/>
      <c r="F187"/>
      <c r="G187"/>
      <c r="H187"/>
    </row>
    <row r="188" spans="3:8" x14ac:dyDescent="0.25">
      <c r="C188"/>
      <c r="D188"/>
      <c r="E188"/>
      <c r="F188"/>
      <c r="G188"/>
      <c r="H188"/>
    </row>
    <row r="189" spans="3:8" x14ac:dyDescent="0.25">
      <c r="C189"/>
      <c r="D189"/>
      <c r="E189"/>
      <c r="F189"/>
      <c r="G189"/>
      <c r="H189"/>
    </row>
    <row r="190" spans="3:8" x14ac:dyDescent="0.25">
      <c r="C190"/>
      <c r="D190"/>
      <c r="E190"/>
      <c r="F190"/>
      <c r="G190"/>
      <c r="H190"/>
    </row>
    <row r="191" spans="3:8" x14ac:dyDescent="0.25">
      <c r="C191"/>
      <c r="D191"/>
      <c r="E191"/>
      <c r="F191"/>
      <c r="G191"/>
      <c r="H191"/>
    </row>
    <row r="192" spans="3:8" x14ac:dyDescent="0.25">
      <c r="C192"/>
      <c r="D192"/>
      <c r="E192"/>
      <c r="F192"/>
      <c r="G192"/>
      <c r="H192"/>
    </row>
    <row r="193" spans="3:8" x14ac:dyDescent="0.25">
      <c r="C193"/>
      <c r="D193"/>
      <c r="E193"/>
      <c r="F193"/>
      <c r="G193"/>
      <c r="H193"/>
    </row>
    <row r="194" spans="3:8" x14ac:dyDescent="0.25">
      <c r="C194"/>
      <c r="D194"/>
      <c r="E194"/>
      <c r="F194"/>
      <c r="G194"/>
      <c r="H194"/>
    </row>
    <row r="195" spans="3:8" x14ac:dyDescent="0.25">
      <c r="C195"/>
      <c r="D195"/>
      <c r="E195"/>
      <c r="F195"/>
      <c r="G195"/>
      <c r="H195"/>
    </row>
    <row r="196" spans="3:8" x14ac:dyDescent="0.25">
      <c r="C196"/>
      <c r="D196"/>
      <c r="E196"/>
      <c r="F196"/>
      <c r="G196"/>
      <c r="H196"/>
    </row>
    <row r="197" spans="3:8" x14ac:dyDescent="0.25">
      <c r="C197"/>
      <c r="D197"/>
      <c r="E197"/>
      <c r="F197"/>
      <c r="G197"/>
      <c r="H197"/>
    </row>
    <row r="198" spans="3:8" x14ac:dyDescent="0.25">
      <c r="C198"/>
      <c r="D198"/>
      <c r="E198"/>
      <c r="F198"/>
      <c r="G198"/>
      <c r="H198"/>
    </row>
    <row r="199" spans="3:8" x14ac:dyDescent="0.25">
      <c r="C199"/>
      <c r="D199"/>
      <c r="E199"/>
      <c r="F199"/>
      <c r="G199"/>
      <c r="H199"/>
    </row>
    <row r="200" spans="3:8" x14ac:dyDescent="0.25">
      <c r="C200"/>
      <c r="D200"/>
      <c r="E200"/>
      <c r="F200"/>
      <c r="G200"/>
      <c r="H200"/>
    </row>
    <row r="201" spans="3:8" x14ac:dyDescent="0.25">
      <c r="C201"/>
      <c r="D201"/>
      <c r="E201"/>
      <c r="F201"/>
      <c r="G201"/>
      <c r="H201"/>
    </row>
    <row r="202" spans="3:8" x14ac:dyDescent="0.25">
      <c r="C202"/>
      <c r="D202"/>
      <c r="E202"/>
      <c r="F202"/>
      <c r="G202"/>
      <c r="H202"/>
    </row>
    <row r="203" spans="3:8" x14ac:dyDescent="0.25">
      <c r="C203"/>
      <c r="D203"/>
      <c r="E203"/>
      <c r="F203"/>
      <c r="G203"/>
      <c r="H203"/>
    </row>
    <row r="204" spans="3:8" x14ac:dyDescent="0.25">
      <c r="C204"/>
      <c r="D204"/>
      <c r="E204"/>
      <c r="F204"/>
      <c r="G204"/>
      <c r="H204"/>
    </row>
    <row r="205" spans="3:8" x14ac:dyDescent="0.25">
      <c r="C205"/>
      <c r="D205"/>
      <c r="E205"/>
      <c r="F205"/>
      <c r="G205"/>
      <c r="H205"/>
    </row>
    <row r="206" spans="3:8" x14ac:dyDescent="0.25">
      <c r="C206"/>
      <c r="D206"/>
      <c r="E206"/>
      <c r="F206"/>
      <c r="G206"/>
      <c r="H206"/>
    </row>
    <row r="207" spans="3:8" x14ac:dyDescent="0.25">
      <c r="C207"/>
      <c r="D207"/>
      <c r="E207"/>
      <c r="F207"/>
      <c r="G207"/>
      <c r="H207"/>
    </row>
    <row r="208" spans="3:8" x14ac:dyDescent="0.25">
      <c r="C208"/>
      <c r="D208"/>
      <c r="E208"/>
      <c r="F208"/>
      <c r="G208"/>
      <c r="H208"/>
    </row>
    <row r="209" spans="3:8" x14ac:dyDescent="0.25">
      <c r="C209"/>
      <c r="D209"/>
      <c r="E209"/>
      <c r="F209"/>
      <c r="G209"/>
      <c r="H209"/>
    </row>
    <row r="210" spans="3:8" x14ac:dyDescent="0.25">
      <c r="C210"/>
      <c r="D210"/>
      <c r="E210"/>
      <c r="F210"/>
      <c r="G210"/>
      <c r="H210"/>
    </row>
    <row r="211" spans="3:8" x14ac:dyDescent="0.25">
      <c r="C211"/>
      <c r="D211"/>
      <c r="E211"/>
      <c r="F211"/>
      <c r="G211"/>
      <c r="H211"/>
    </row>
    <row r="212" spans="3:8" x14ac:dyDescent="0.25">
      <c r="C212"/>
      <c r="D212"/>
      <c r="E212"/>
      <c r="F212"/>
      <c r="G212"/>
      <c r="H212"/>
    </row>
    <row r="213" spans="3:8" x14ac:dyDescent="0.25">
      <c r="C213"/>
      <c r="D213"/>
      <c r="E213"/>
      <c r="F213"/>
      <c r="G213"/>
      <c r="H213"/>
    </row>
    <row r="214" spans="3:8" x14ac:dyDescent="0.25">
      <c r="C214"/>
      <c r="D214"/>
      <c r="E214"/>
      <c r="F214"/>
      <c r="G214"/>
      <c r="H214"/>
    </row>
    <row r="215" spans="3:8" x14ac:dyDescent="0.25">
      <c r="C215"/>
      <c r="D215"/>
      <c r="E215"/>
      <c r="F215"/>
      <c r="G215"/>
      <c r="H215"/>
    </row>
    <row r="216" spans="3:8" x14ac:dyDescent="0.25">
      <c r="C216"/>
      <c r="D216"/>
      <c r="E216"/>
      <c r="F216"/>
      <c r="G216"/>
      <c r="H216"/>
    </row>
    <row r="217" spans="3:8" x14ac:dyDescent="0.25">
      <c r="C217"/>
      <c r="D217"/>
      <c r="E217"/>
      <c r="F217"/>
      <c r="G217"/>
      <c r="H217"/>
    </row>
    <row r="218" spans="3:8" x14ac:dyDescent="0.25">
      <c r="C218"/>
      <c r="D218"/>
      <c r="E218"/>
      <c r="F218"/>
      <c r="G218"/>
      <c r="H218"/>
    </row>
    <row r="219" spans="3:8" x14ac:dyDescent="0.25">
      <c r="C219"/>
      <c r="D219"/>
      <c r="E219"/>
      <c r="F219"/>
      <c r="G219"/>
      <c r="H219"/>
    </row>
    <row r="220" spans="3:8" x14ac:dyDescent="0.25">
      <c r="C220"/>
      <c r="D220"/>
      <c r="E220"/>
      <c r="F220"/>
      <c r="G220"/>
      <c r="H220"/>
    </row>
    <row r="221" spans="3:8" x14ac:dyDescent="0.25">
      <c r="C221"/>
      <c r="D221"/>
      <c r="E221"/>
      <c r="F221"/>
      <c r="G221"/>
      <c r="H221"/>
    </row>
    <row r="222" spans="3:8" x14ac:dyDescent="0.25">
      <c r="C222"/>
      <c r="D222"/>
      <c r="E222"/>
      <c r="F222"/>
      <c r="G222"/>
      <c r="H222"/>
    </row>
    <row r="223" spans="3:8" x14ac:dyDescent="0.25">
      <c r="C223"/>
      <c r="D223"/>
      <c r="E223"/>
      <c r="F223"/>
      <c r="G223"/>
      <c r="H223"/>
    </row>
    <row r="224" spans="3:8" x14ac:dyDescent="0.25">
      <c r="C224"/>
      <c r="D224"/>
      <c r="E224"/>
      <c r="F224"/>
      <c r="G224"/>
      <c r="H224"/>
    </row>
    <row r="225" spans="3:8" x14ac:dyDescent="0.25">
      <c r="C225"/>
      <c r="D225"/>
      <c r="E225"/>
      <c r="F225"/>
      <c r="G225"/>
      <c r="H225"/>
    </row>
    <row r="226" spans="3:8" x14ac:dyDescent="0.25">
      <c r="C226"/>
      <c r="D226"/>
      <c r="E226"/>
      <c r="F226"/>
      <c r="G226"/>
      <c r="H226"/>
    </row>
    <row r="227" spans="3:8" x14ac:dyDescent="0.25">
      <c r="C227"/>
      <c r="D227"/>
      <c r="E227"/>
      <c r="F227"/>
      <c r="G227"/>
      <c r="H227"/>
    </row>
    <row r="228" spans="3:8" x14ac:dyDescent="0.25">
      <c r="C228"/>
      <c r="D228"/>
      <c r="E228"/>
      <c r="F228"/>
      <c r="G228"/>
      <c r="H228"/>
    </row>
    <row r="229" spans="3:8" x14ac:dyDescent="0.25">
      <c r="C229"/>
      <c r="D229"/>
      <c r="E229"/>
      <c r="F229"/>
      <c r="G229"/>
      <c r="H229"/>
    </row>
    <row r="230" spans="3:8" x14ac:dyDescent="0.25">
      <c r="C230"/>
      <c r="D230"/>
      <c r="E230"/>
      <c r="F230"/>
      <c r="G230"/>
      <c r="H230"/>
    </row>
    <row r="231" spans="3:8" x14ac:dyDescent="0.25">
      <c r="C231"/>
      <c r="D231"/>
      <c r="E231"/>
      <c r="F231"/>
      <c r="G231"/>
      <c r="H231"/>
    </row>
    <row r="232" spans="3:8" x14ac:dyDescent="0.25">
      <c r="C232"/>
      <c r="D232"/>
      <c r="E232"/>
      <c r="F232"/>
      <c r="G232"/>
      <c r="H232"/>
    </row>
    <row r="233" spans="3:8" x14ac:dyDescent="0.25">
      <c r="C233"/>
      <c r="D233"/>
      <c r="E233"/>
      <c r="F233"/>
      <c r="G233"/>
      <c r="H233"/>
    </row>
    <row r="234" spans="3:8" x14ac:dyDescent="0.25">
      <c r="C234"/>
      <c r="D234"/>
      <c r="E234"/>
      <c r="F234"/>
      <c r="G234"/>
      <c r="H234"/>
    </row>
    <row r="235" spans="3:8" x14ac:dyDescent="0.25">
      <c r="C235"/>
      <c r="D235"/>
      <c r="E235"/>
      <c r="F235"/>
      <c r="G235"/>
      <c r="H235"/>
    </row>
    <row r="236" spans="3:8" x14ac:dyDescent="0.25">
      <c r="C236"/>
      <c r="D236"/>
      <c r="E236"/>
      <c r="F236"/>
      <c r="G236"/>
      <c r="H236"/>
    </row>
    <row r="237" spans="3:8" x14ac:dyDescent="0.25">
      <c r="C237"/>
      <c r="D237"/>
      <c r="E237"/>
      <c r="F237"/>
      <c r="G237"/>
      <c r="H237"/>
    </row>
    <row r="238" spans="3:8" x14ac:dyDescent="0.25">
      <c r="C238"/>
      <c r="D238"/>
      <c r="E238"/>
      <c r="F238"/>
      <c r="G238"/>
      <c r="H238"/>
    </row>
    <row r="239" spans="3:8" x14ac:dyDescent="0.25">
      <c r="C239"/>
      <c r="D239"/>
      <c r="E239"/>
      <c r="F239"/>
      <c r="G239"/>
      <c r="H239"/>
    </row>
    <row r="240" spans="3:8" x14ac:dyDescent="0.25">
      <c r="C240"/>
      <c r="D240"/>
      <c r="E240"/>
      <c r="F240"/>
      <c r="G240"/>
      <c r="H240"/>
    </row>
    <row r="241" spans="3:8" x14ac:dyDescent="0.25">
      <c r="C241"/>
      <c r="D241"/>
      <c r="E241"/>
      <c r="F241"/>
      <c r="G241"/>
      <c r="H241"/>
    </row>
    <row r="242" spans="3:8" x14ac:dyDescent="0.25">
      <c r="C242"/>
      <c r="D242"/>
      <c r="E242"/>
      <c r="F242"/>
      <c r="G242"/>
      <c r="H242"/>
    </row>
    <row r="243" spans="3:8" x14ac:dyDescent="0.25">
      <c r="C243"/>
      <c r="D243"/>
      <c r="E243"/>
      <c r="F243"/>
      <c r="G243"/>
      <c r="H243"/>
    </row>
    <row r="244" spans="3:8" x14ac:dyDescent="0.25">
      <c r="C244"/>
      <c r="D244"/>
      <c r="E244"/>
      <c r="F244"/>
      <c r="G244"/>
      <c r="H244"/>
    </row>
    <row r="245" spans="3:8" x14ac:dyDescent="0.25">
      <c r="C245"/>
      <c r="D245"/>
      <c r="E245"/>
      <c r="F245"/>
      <c r="G245"/>
      <c r="H245"/>
    </row>
    <row r="246" spans="3:8" x14ac:dyDescent="0.25">
      <c r="C246"/>
      <c r="D246"/>
      <c r="E246"/>
      <c r="F246"/>
      <c r="G246"/>
      <c r="H246"/>
    </row>
    <row r="247" spans="3:8" x14ac:dyDescent="0.25">
      <c r="C247"/>
      <c r="D247"/>
      <c r="E247"/>
      <c r="F247"/>
      <c r="G247"/>
      <c r="H247"/>
    </row>
    <row r="248" spans="3:8" x14ac:dyDescent="0.25">
      <c r="C248"/>
      <c r="D248"/>
      <c r="E248"/>
      <c r="F248"/>
      <c r="G248"/>
      <c r="H248"/>
    </row>
    <row r="249" spans="3:8" x14ac:dyDescent="0.25">
      <c r="C249"/>
      <c r="D249"/>
      <c r="E249"/>
      <c r="F249"/>
      <c r="G249"/>
      <c r="H249"/>
    </row>
    <row r="250" spans="3:8" x14ac:dyDescent="0.25">
      <c r="C250"/>
      <c r="D250"/>
      <c r="E250"/>
      <c r="F250"/>
      <c r="G250"/>
      <c r="H250"/>
    </row>
    <row r="251" spans="3:8" x14ac:dyDescent="0.25">
      <c r="C251"/>
      <c r="D251"/>
      <c r="E251"/>
      <c r="F251"/>
      <c r="G251"/>
      <c r="H251"/>
    </row>
    <row r="252" spans="3:8" x14ac:dyDescent="0.25">
      <c r="C252"/>
      <c r="D252"/>
      <c r="E252"/>
      <c r="F252"/>
      <c r="G252"/>
      <c r="H252"/>
    </row>
    <row r="253" spans="3:8" x14ac:dyDescent="0.25">
      <c r="C253"/>
      <c r="D253"/>
      <c r="E253"/>
      <c r="F253"/>
      <c r="G253"/>
      <c r="H253"/>
    </row>
    <row r="254" spans="3:8" x14ac:dyDescent="0.25">
      <c r="C254"/>
      <c r="D254"/>
      <c r="E254"/>
      <c r="F254"/>
      <c r="G254"/>
      <c r="H254"/>
    </row>
    <row r="255" spans="3:8" x14ac:dyDescent="0.25">
      <c r="C255"/>
      <c r="D255"/>
      <c r="E255"/>
      <c r="F255"/>
      <c r="G255"/>
      <c r="H255"/>
    </row>
    <row r="256" spans="3:8" x14ac:dyDescent="0.25">
      <c r="C256"/>
      <c r="D256"/>
      <c r="E256"/>
      <c r="F256"/>
      <c r="G256"/>
      <c r="H256"/>
    </row>
    <row r="257" spans="3:8" x14ac:dyDescent="0.25">
      <c r="C257"/>
      <c r="D257"/>
      <c r="E257"/>
      <c r="F257"/>
      <c r="G257"/>
      <c r="H257"/>
    </row>
    <row r="258" spans="3:8" x14ac:dyDescent="0.25">
      <c r="C258"/>
      <c r="D258"/>
      <c r="E258"/>
      <c r="F258"/>
      <c r="G258"/>
      <c r="H258"/>
    </row>
    <row r="259" spans="3:8" x14ac:dyDescent="0.25">
      <c r="C259"/>
      <c r="D259"/>
      <c r="E259"/>
      <c r="F259"/>
      <c r="G259"/>
      <c r="H259"/>
    </row>
    <row r="260" spans="3:8" x14ac:dyDescent="0.25">
      <c r="C260"/>
      <c r="D260"/>
      <c r="E260"/>
      <c r="F260"/>
      <c r="G260"/>
      <c r="H260"/>
    </row>
    <row r="261" spans="3:8" x14ac:dyDescent="0.25">
      <c r="C261"/>
      <c r="D261"/>
      <c r="E261"/>
      <c r="F261"/>
      <c r="G261"/>
      <c r="H261"/>
    </row>
    <row r="262" spans="3:8" x14ac:dyDescent="0.25">
      <c r="C262"/>
      <c r="D262"/>
      <c r="E262"/>
      <c r="F262"/>
      <c r="G262"/>
      <c r="H262"/>
    </row>
    <row r="263" spans="3:8" x14ac:dyDescent="0.25">
      <c r="C263"/>
      <c r="D263"/>
      <c r="E263"/>
      <c r="F263"/>
      <c r="G263"/>
      <c r="H263"/>
    </row>
    <row r="264" spans="3:8" x14ac:dyDescent="0.25">
      <c r="C264"/>
      <c r="D264"/>
      <c r="E264"/>
      <c r="F264"/>
      <c r="G264"/>
      <c r="H264"/>
    </row>
    <row r="265" spans="3:8" x14ac:dyDescent="0.25">
      <c r="C265"/>
      <c r="D265"/>
      <c r="E265"/>
      <c r="F265"/>
      <c r="G265"/>
      <c r="H265"/>
    </row>
    <row r="266" spans="3:8" x14ac:dyDescent="0.25">
      <c r="C266"/>
      <c r="D266"/>
      <c r="E266"/>
      <c r="F266"/>
      <c r="G266"/>
      <c r="H266"/>
    </row>
    <row r="267" spans="3:8" x14ac:dyDescent="0.25">
      <c r="C267"/>
      <c r="D267"/>
      <c r="E267"/>
      <c r="F267"/>
      <c r="G267"/>
      <c r="H267"/>
    </row>
    <row r="268" spans="3:8" x14ac:dyDescent="0.25">
      <c r="C268"/>
      <c r="D268"/>
      <c r="E268"/>
      <c r="F268"/>
      <c r="G268"/>
      <c r="H268"/>
    </row>
    <row r="269" spans="3:8" x14ac:dyDescent="0.25">
      <c r="C269"/>
      <c r="D269"/>
      <c r="E269"/>
      <c r="F269"/>
      <c r="G269"/>
      <c r="H269"/>
    </row>
    <row r="270" spans="3:8" x14ac:dyDescent="0.25">
      <c r="C270"/>
      <c r="D270"/>
      <c r="E270"/>
      <c r="F270"/>
      <c r="G270"/>
      <c r="H270"/>
    </row>
    <row r="271" spans="3:8" x14ac:dyDescent="0.25">
      <c r="C271"/>
      <c r="D271"/>
      <c r="E271"/>
      <c r="F271"/>
      <c r="G271"/>
      <c r="H271"/>
    </row>
    <row r="272" spans="3:8" x14ac:dyDescent="0.25">
      <c r="C272"/>
      <c r="D272"/>
      <c r="E272"/>
      <c r="F272"/>
      <c r="G272"/>
      <c r="H272"/>
    </row>
    <row r="273" spans="3:8" x14ac:dyDescent="0.25">
      <c r="C273"/>
      <c r="D273"/>
      <c r="E273"/>
      <c r="F273"/>
      <c r="G273"/>
      <c r="H273"/>
    </row>
    <row r="274" spans="3:8" x14ac:dyDescent="0.25">
      <c r="C274"/>
      <c r="D274"/>
      <c r="E274"/>
      <c r="F274"/>
      <c r="G274"/>
      <c r="H274"/>
    </row>
    <row r="275" spans="3:8" x14ac:dyDescent="0.25">
      <c r="C275"/>
      <c r="D275"/>
      <c r="E275"/>
      <c r="F275"/>
      <c r="G275"/>
      <c r="H275"/>
    </row>
    <row r="276" spans="3:8" x14ac:dyDescent="0.25">
      <c r="C276"/>
      <c r="D276"/>
      <c r="E276"/>
      <c r="F276"/>
      <c r="G276"/>
      <c r="H276"/>
    </row>
    <row r="277" spans="3:8" x14ac:dyDescent="0.25">
      <c r="C277"/>
      <c r="D277"/>
      <c r="E277"/>
      <c r="F277"/>
      <c r="G277"/>
      <c r="H277"/>
    </row>
    <row r="278" spans="3:8" x14ac:dyDescent="0.25">
      <c r="C278"/>
      <c r="D278"/>
      <c r="E278"/>
      <c r="F278"/>
      <c r="G278"/>
      <c r="H278"/>
    </row>
    <row r="279" spans="3:8" x14ac:dyDescent="0.25">
      <c r="C279"/>
      <c r="D279"/>
      <c r="E279"/>
      <c r="F279"/>
      <c r="G279"/>
      <c r="H279"/>
    </row>
    <row r="280" spans="3:8" x14ac:dyDescent="0.25">
      <c r="C280"/>
      <c r="D280"/>
      <c r="E280"/>
      <c r="F280"/>
      <c r="G280"/>
      <c r="H280"/>
    </row>
    <row r="281" spans="3:8" x14ac:dyDescent="0.25">
      <c r="C281"/>
      <c r="D281"/>
      <c r="E281"/>
      <c r="F281"/>
      <c r="G281"/>
      <c r="H281"/>
    </row>
    <row r="282" spans="3:8" x14ac:dyDescent="0.25">
      <c r="C282"/>
      <c r="D282"/>
      <c r="E282"/>
      <c r="F282"/>
      <c r="G282"/>
      <c r="H282"/>
    </row>
    <row r="283" spans="3:8" x14ac:dyDescent="0.25">
      <c r="C283"/>
      <c r="D283"/>
      <c r="E283"/>
      <c r="F283"/>
      <c r="G283"/>
      <c r="H283"/>
    </row>
    <row r="284" spans="3:8" x14ac:dyDescent="0.25">
      <c r="C284"/>
      <c r="D284"/>
      <c r="E284"/>
      <c r="F284"/>
      <c r="G284"/>
      <c r="H284"/>
    </row>
    <row r="285" spans="3:8" x14ac:dyDescent="0.25">
      <c r="C285"/>
      <c r="D285"/>
      <c r="E285"/>
      <c r="F285"/>
      <c r="G285"/>
      <c r="H285"/>
    </row>
    <row r="286" spans="3:8" x14ac:dyDescent="0.25">
      <c r="C286"/>
      <c r="D286"/>
      <c r="E286"/>
      <c r="F286"/>
      <c r="G286"/>
      <c r="H286"/>
    </row>
    <row r="287" spans="3:8" x14ac:dyDescent="0.25">
      <c r="C287"/>
      <c r="D287"/>
      <c r="E287"/>
      <c r="F287"/>
      <c r="G287"/>
      <c r="H287"/>
    </row>
    <row r="288" spans="3:8" x14ac:dyDescent="0.25">
      <c r="C288"/>
      <c r="D288"/>
      <c r="E288"/>
      <c r="F288"/>
      <c r="G288"/>
      <c r="H288"/>
    </row>
    <row r="289" spans="3:8" x14ac:dyDescent="0.25">
      <c r="C289"/>
      <c r="D289"/>
      <c r="E289"/>
      <c r="F289"/>
      <c r="G289"/>
      <c r="H289"/>
    </row>
    <row r="290" spans="3:8" x14ac:dyDescent="0.25">
      <c r="C290"/>
      <c r="D290"/>
      <c r="E290"/>
      <c r="F290"/>
      <c r="G290"/>
      <c r="H290"/>
    </row>
    <row r="291" spans="3:8" x14ac:dyDescent="0.25">
      <c r="C291"/>
      <c r="D291"/>
      <c r="E291"/>
      <c r="F291"/>
      <c r="G291"/>
      <c r="H291"/>
    </row>
    <row r="292" spans="3:8" x14ac:dyDescent="0.25">
      <c r="C292"/>
      <c r="D292"/>
      <c r="E292"/>
      <c r="F292"/>
      <c r="G292"/>
      <c r="H292"/>
    </row>
    <row r="293" spans="3:8" x14ac:dyDescent="0.25">
      <c r="C293"/>
      <c r="D293"/>
      <c r="E293"/>
      <c r="F293"/>
      <c r="G293"/>
      <c r="H293"/>
    </row>
    <row r="294" spans="3:8" x14ac:dyDescent="0.25">
      <c r="C294"/>
      <c r="D294"/>
      <c r="E294"/>
      <c r="F294"/>
      <c r="G294"/>
      <c r="H294"/>
    </row>
    <row r="295" spans="3:8" x14ac:dyDescent="0.25">
      <c r="C295"/>
      <c r="D295"/>
      <c r="E295"/>
      <c r="F295"/>
      <c r="G295"/>
      <c r="H295"/>
    </row>
    <row r="296" spans="3:8" x14ac:dyDescent="0.25">
      <c r="C296"/>
      <c r="D296"/>
      <c r="E296"/>
      <c r="F296"/>
      <c r="G296"/>
      <c r="H296"/>
    </row>
    <row r="297" spans="3:8" x14ac:dyDescent="0.25">
      <c r="C297"/>
      <c r="D297"/>
      <c r="E297"/>
      <c r="F297"/>
      <c r="G297"/>
      <c r="H297"/>
    </row>
    <row r="298" spans="3:8" x14ac:dyDescent="0.25">
      <c r="C298"/>
      <c r="D298"/>
      <c r="E298"/>
      <c r="F298"/>
      <c r="G298"/>
      <c r="H298"/>
    </row>
    <row r="299" spans="3:8" x14ac:dyDescent="0.25">
      <c r="C299"/>
      <c r="D299"/>
      <c r="E299"/>
      <c r="F299"/>
      <c r="G299"/>
      <c r="H299"/>
    </row>
    <row r="300" spans="3:8" x14ac:dyDescent="0.25">
      <c r="C300"/>
      <c r="D300"/>
      <c r="E300"/>
      <c r="F300"/>
      <c r="G300"/>
      <c r="H300"/>
    </row>
    <row r="301" spans="3:8" x14ac:dyDescent="0.25">
      <c r="C301"/>
      <c r="D301"/>
      <c r="E301"/>
      <c r="F301"/>
      <c r="G301"/>
      <c r="H301"/>
    </row>
    <row r="302" spans="3:8" x14ac:dyDescent="0.25">
      <c r="C302"/>
      <c r="D302"/>
      <c r="E302"/>
      <c r="F302"/>
      <c r="G302"/>
      <c r="H302"/>
    </row>
    <row r="303" spans="3:8" x14ac:dyDescent="0.25">
      <c r="C303"/>
      <c r="D303"/>
      <c r="E303"/>
      <c r="F303"/>
      <c r="G303"/>
      <c r="H303"/>
    </row>
    <row r="304" spans="3:8" x14ac:dyDescent="0.25">
      <c r="C304"/>
      <c r="D304"/>
      <c r="E304"/>
      <c r="F304"/>
      <c r="G304"/>
      <c r="H304"/>
    </row>
    <row r="305" spans="3:8" x14ac:dyDescent="0.25">
      <c r="C305"/>
      <c r="D305"/>
      <c r="E305"/>
      <c r="F305"/>
      <c r="G305"/>
      <c r="H305"/>
    </row>
    <row r="306" spans="3:8" x14ac:dyDescent="0.25">
      <c r="C306"/>
      <c r="D306"/>
      <c r="E306"/>
      <c r="F306"/>
      <c r="G306"/>
      <c r="H306"/>
    </row>
    <row r="307" spans="3:8" x14ac:dyDescent="0.25">
      <c r="C307"/>
      <c r="D307"/>
      <c r="E307"/>
      <c r="F307"/>
      <c r="G307"/>
      <c r="H307"/>
    </row>
    <row r="308" spans="3:8" x14ac:dyDescent="0.25">
      <c r="C308"/>
      <c r="D308"/>
      <c r="E308"/>
      <c r="F308"/>
      <c r="G308"/>
      <c r="H308"/>
    </row>
    <row r="309" spans="3:8" x14ac:dyDescent="0.25">
      <c r="C309"/>
      <c r="D309"/>
      <c r="E309"/>
      <c r="F309"/>
      <c r="G309"/>
      <c r="H309"/>
    </row>
    <row r="310" spans="3:8" x14ac:dyDescent="0.25">
      <c r="C310"/>
      <c r="D310"/>
      <c r="E310"/>
      <c r="F310"/>
      <c r="G310"/>
      <c r="H310"/>
    </row>
    <row r="311" spans="3:8" x14ac:dyDescent="0.25">
      <c r="C311"/>
      <c r="D311"/>
      <c r="E311"/>
      <c r="F311"/>
      <c r="G311"/>
      <c r="H311"/>
    </row>
    <row r="312" spans="3:8" x14ac:dyDescent="0.25">
      <c r="C312"/>
      <c r="D312"/>
      <c r="E312"/>
      <c r="F312"/>
      <c r="G312"/>
      <c r="H312"/>
    </row>
    <row r="313" spans="3:8" x14ac:dyDescent="0.25">
      <c r="C313"/>
      <c r="D313"/>
      <c r="E313"/>
      <c r="F313"/>
      <c r="G313"/>
      <c r="H313"/>
    </row>
    <row r="314" spans="3:8" x14ac:dyDescent="0.25">
      <c r="C314"/>
      <c r="D314"/>
      <c r="E314"/>
      <c r="F314"/>
      <c r="G314"/>
      <c r="H314"/>
    </row>
    <row r="315" spans="3:8" x14ac:dyDescent="0.25">
      <c r="C315"/>
      <c r="D315"/>
      <c r="E315"/>
      <c r="F315"/>
      <c r="G315"/>
      <c r="H315"/>
    </row>
    <row r="316" spans="3:8" x14ac:dyDescent="0.25">
      <c r="C316"/>
      <c r="D316"/>
      <c r="E316"/>
      <c r="F316"/>
      <c r="G316"/>
      <c r="H316"/>
    </row>
    <row r="317" spans="3:8" x14ac:dyDescent="0.25">
      <c r="C317"/>
      <c r="D317"/>
      <c r="E317"/>
      <c r="F317"/>
      <c r="G317"/>
      <c r="H317"/>
    </row>
    <row r="318" spans="3:8" x14ac:dyDescent="0.25">
      <c r="C318"/>
      <c r="D318"/>
      <c r="E318"/>
      <c r="F318"/>
      <c r="G318"/>
      <c r="H318"/>
    </row>
    <row r="319" spans="3:8" x14ac:dyDescent="0.25">
      <c r="C319"/>
      <c r="D319"/>
      <c r="E319"/>
      <c r="F319"/>
      <c r="G319"/>
      <c r="H319"/>
    </row>
    <row r="320" spans="3:8" x14ac:dyDescent="0.25">
      <c r="C320"/>
      <c r="D320"/>
      <c r="E320"/>
      <c r="F320"/>
      <c r="G320"/>
      <c r="H320"/>
    </row>
    <row r="321" spans="3:8" x14ac:dyDescent="0.25">
      <c r="C321"/>
      <c r="D321"/>
      <c r="E321"/>
      <c r="F321"/>
      <c r="G321"/>
      <c r="H321"/>
    </row>
    <row r="322" spans="3:8" x14ac:dyDescent="0.25">
      <c r="C322"/>
      <c r="D322"/>
      <c r="E322"/>
      <c r="F322"/>
      <c r="G322"/>
      <c r="H322"/>
    </row>
    <row r="323" spans="3:8" x14ac:dyDescent="0.25">
      <c r="C323"/>
      <c r="D323"/>
      <c r="E323"/>
      <c r="F323"/>
      <c r="G323"/>
      <c r="H323"/>
    </row>
    <row r="324" spans="3:8" x14ac:dyDescent="0.25">
      <c r="C324"/>
      <c r="D324"/>
      <c r="E324"/>
      <c r="F324"/>
      <c r="G324"/>
      <c r="H324"/>
    </row>
    <row r="325" spans="3:8" x14ac:dyDescent="0.25">
      <c r="C325"/>
      <c r="D325"/>
      <c r="E325"/>
      <c r="F325"/>
      <c r="G325"/>
      <c r="H325"/>
    </row>
    <row r="326" spans="3:8" x14ac:dyDescent="0.25">
      <c r="C326"/>
      <c r="D326"/>
      <c r="E326"/>
      <c r="F326"/>
      <c r="G326"/>
      <c r="H326"/>
    </row>
    <row r="327" spans="3:8" x14ac:dyDescent="0.25">
      <c r="C327"/>
      <c r="D327"/>
      <c r="E327"/>
      <c r="F327"/>
      <c r="G327"/>
      <c r="H327"/>
    </row>
    <row r="328" spans="3:8" x14ac:dyDescent="0.25">
      <c r="C328"/>
      <c r="D328"/>
      <c r="E328"/>
      <c r="F328"/>
      <c r="G328"/>
      <c r="H328"/>
    </row>
    <row r="329" spans="3:8" x14ac:dyDescent="0.25">
      <c r="C329"/>
      <c r="D329"/>
      <c r="E329"/>
      <c r="F329"/>
      <c r="G329"/>
      <c r="H329"/>
    </row>
    <row r="330" spans="3:8" x14ac:dyDescent="0.25">
      <c r="C330"/>
      <c r="D330"/>
      <c r="E330"/>
      <c r="F330"/>
      <c r="G330"/>
      <c r="H330"/>
    </row>
    <row r="331" spans="3:8" x14ac:dyDescent="0.25">
      <c r="C331"/>
      <c r="D331"/>
      <c r="E331"/>
      <c r="F331"/>
      <c r="G331"/>
      <c r="H331"/>
    </row>
    <row r="332" spans="3:8" x14ac:dyDescent="0.25">
      <c r="C332"/>
      <c r="D332"/>
      <c r="E332"/>
      <c r="F332"/>
      <c r="G332"/>
      <c r="H332"/>
    </row>
    <row r="333" spans="3:8" x14ac:dyDescent="0.25">
      <c r="C333"/>
      <c r="D333"/>
      <c r="E333"/>
      <c r="F333"/>
      <c r="G333"/>
      <c r="H333"/>
    </row>
    <row r="334" spans="3:8" x14ac:dyDescent="0.25">
      <c r="C334"/>
      <c r="D334"/>
      <c r="E334"/>
      <c r="F334"/>
      <c r="G334"/>
      <c r="H334"/>
    </row>
    <row r="335" spans="3:8" x14ac:dyDescent="0.25">
      <c r="C335"/>
      <c r="D335"/>
      <c r="E335"/>
      <c r="F335"/>
      <c r="G335"/>
      <c r="H335"/>
    </row>
    <row r="336" spans="3:8" x14ac:dyDescent="0.25">
      <c r="C336"/>
      <c r="D336"/>
      <c r="E336"/>
      <c r="F336"/>
      <c r="G336"/>
      <c r="H336"/>
    </row>
    <row r="337" spans="3:8" x14ac:dyDescent="0.25">
      <c r="C337"/>
      <c r="D337"/>
      <c r="E337"/>
      <c r="F337"/>
      <c r="G337"/>
      <c r="H337"/>
    </row>
    <row r="338" spans="3:8" x14ac:dyDescent="0.25">
      <c r="C338"/>
      <c r="D338"/>
      <c r="E338"/>
      <c r="F338"/>
      <c r="G338"/>
      <c r="H338"/>
    </row>
    <row r="339" spans="3:8" x14ac:dyDescent="0.25">
      <c r="C339"/>
      <c r="D339"/>
      <c r="E339"/>
      <c r="F339"/>
      <c r="G339"/>
      <c r="H339"/>
    </row>
    <row r="340" spans="3:8" x14ac:dyDescent="0.25">
      <c r="C340"/>
      <c r="D340"/>
      <c r="E340"/>
      <c r="F340"/>
      <c r="G340"/>
      <c r="H340"/>
    </row>
    <row r="341" spans="3:8" x14ac:dyDescent="0.25">
      <c r="C341"/>
      <c r="D341"/>
      <c r="E341"/>
      <c r="F341"/>
      <c r="G341"/>
      <c r="H341"/>
    </row>
    <row r="342" spans="3:8" x14ac:dyDescent="0.25">
      <c r="C342"/>
      <c r="D342"/>
      <c r="E342"/>
      <c r="F342"/>
      <c r="G342"/>
      <c r="H342"/>
    </row>
    <row r="343" spans="3:8" x14ac:dyDescent="0.25">
      <c r="C343"/>
      <c r="D343"/>
      <c r="E343"/>
      <c r="F343"/>
      <c r="G343"/>
      <c r="H343"/>
    </row>
    <row r="344" spans="3:8" x14ac:dyDescent="0.25">
      <c r="C344"/>
      <c r="D344"/>
      <c r="E344"/>
      <c r="F344"/>
      <c r="G344"/>
      <c r="H344"/>
    </row>
    <row r="345" spans="3:8" x14ac:dyDescent="0.25">
      <c r="C345"/>
      <c r="D345"/>
      <c r="E345"/>
      <c r="F345"/>
      <c r="G345"/>
      <c r="H345"/>
    </row>
    <row r="346" spans="3:8" x14ac:dyDescent="0.25">
      <c r="C346"/>
      <c r="D346"/>
      <c r="E346"/>
      <c r="F346"/>
      <c r="G346"/>
      <c r="H346"/>
    </row>
    <row r="347" spans="3:8" x14ac:dyDescent="0.25">
      <c r="C347"/>
      <c r="D347"/>
      <c r="E347"/>
      <c r="F347"/>
      <c r="G347"/>
      <c r="H347"/>
    </row>
    <row r="348" spans="3:8" x14ac:dyDescent="0.25">
      <c r="C348"/>
      <c r="D348"/>
      <c r="E348"/>
      <c r="F348"/>
      <c r="G348"/>
      <c r="H348"/>
    </row>
    <row r="349" spans="3:8" x14ac:dyDescent="0.25">
      <c r="C349"/>
      <c r="D349"/>
      <c r="E349"/>
      <c r="F349"/>
      <c r="G349"/>
      <c r="H349"/>
    </row>
    <row r="350" spans="3:8" x14ac:dyDescent="0.25">
      <c r="C350"/>
      <c r="D350"/>
      <c r="E350"/>
      <c r="F350"/>
      <c r="G350"/>
      <c r="H350"/>
    </row>
    <row r="351" spans="3:8" x14ac:dyDescent="0.25">
      <c r="C351"/>
      <c r="D351"/>
      <c r="E351"/>
      <c r="F351"/>
      <c r="G351"/>
      <c r="H351"/>
    </row>
    <row r="352" spans="3:8" x14ac:dyDescent="0.25">
      <c r="C352"/>
      <c r="D352"/>
      <c r="E352"/>
      <c r="F352"/>
      <c r="G352"/>
      <c r="H352"/>
    </row>
    <row r="353" spans="3:8" x14ac:dyDescent="0.25">
      <c r="C353"/>
      <c r="D353"/>
      <c r="E353"/>
      <c r="F353"/>
      <c r="G353"/>
      <c r="H353"/>
    </row>
    <row r="354" spans="3:8" x14ac:dyDescent="0.25">
      <c r="C354"/>
      <c r="D354"/>
      <c r="E354"/>
      <c r="F354"/>
      <c r="G354"/>
      <c r="H354"/>
    </row>
    <row r="355" spans="3:8" x14ac:dyDescent="0.25">
      <c r="C355"/>
      <c r="D355"/>
      <c r="E355"/>
      <c r="F355"/>
      <c r="G355"/>
      <c r="H355"/>
    </row>
    <row r="356" spans="3:8" x14ac:dyDescent="0.25">
      <c r="C356"/>
      <c r="D356"/>
      <c r="E356"/>
      <c r="F356"/>
      <c r="G356"/>
      <c r="H356"/>
    </row>
    <row r="357" spans="3:8" x14ac:dyDescent="0.25">
      <c r="C357"/>
      <c r="D357"/>
      <c r="E357"/>
      <c r="F357"/>
      <c r="G357"/>
      <c r="H357"/>
    </row>
    <row r="358" spans="3:8" x14ac:dyDescent="0.25">
      <c r="C358"/>
      <c r="D358"/>
      <c r="E358"/>
      <c r="F358"/>
      <c r="G358"/>
      <c r="H358"/>
    </row>
    <row r="359" spans="3:8" x14ac:dyDescent="0.25">
      <c r="C359"/>
      <c r="D359"/>
      <c r="E359"/>
      <c r="F359"/>
      <c r="G359"/>
      <c r="H359"/>
    </row>
    <row r="360" spans="3:8" x14ac:dyDescent="0.25">
      <c r="C360"/>
      <c r="D360"/>
      <c r="E360"/>
      <c r="F360"/>
      <c r="G360"/>
      <c r="H360"/>
    </row>
    <row r="361" spans="3:8" x14ac:dyDescent="0.25">
      <c r="C361"/>
      <c r="D361"/>
      <c r="E361"/>
      <c r="F361"/>
      <c r="G361"/>
      <c r="H361"/>
    </row>
    <row r="362" spans="3:8" x14ac:dyDescent="0.25">
      <c r="C362"/>
      <c r="D362"/>
      <c r="E362"/>
      <c r="F362"/>
      <c r="G362"/>
      <c r="H362"/>
    </row>
    <row r="363" spans="3:8" x14ac:dyDescent="0.25">
      <c r="C363"/>
      <c r="D363"/>
      <c r="E363"/>
      <c r="F363"/>
      <c r="G363"/>
      <c r="H363"/>
    </row>
    <row r="364" spans="3:8" x14ac:dyDescent="0.25">
      <c r="C364"/>
      <c r="D364"/>
      <c r="E364"/>
      <c r="F364"/>
      <c r="G364"/>
      <c r="H364"/>
    </row>
    <row r="365" spans="3:8" x14ac:dyDescent="0.25">
      <c r="C365"/>
      <c r="D365"/>
      <c r="E365"/>
      <c r="F365"/>
      <c r="G365"/>
      <c r="H365"/>
    </row>
    <row r="366" spans="3:8" x14ac:dyDescent="0.25">
      <c r="C366"/>
      <c r="D366"/>
      <c r="E366"/>
      <c r="F366"/>
      <c r="G366"/>
      <c r="H366"/>
    </row>
    <row r="367" spans="3:8" x14ac:dyDescent="0.25">
      <c r="C367"/>
      <c r="D367"/>
      <c r="E367"/>
      <c r="F367"/>
      <c r="G367"/>
      <c r="H367"/>
    </row>
    <row r="368" spans="3:8" x14ac:dyDescent="0.25">
      <c r="C368"/>
      <c r="D368"/>
      <c r="E368"/>
      <c r="F368"/>
      <c r="G368"/>
      <c r="H368"/>
    </row>
    <row r="369" spans="3:8" x14ac:dyDescent="0.25">
      <c r="C369"/>
      <c r="D369"/>
      <c r="E369"/>
      <c r="F369"/>
      <c r="G369"/>
      <c r="H369"/>
    </row>
    <row r="370" spans="3:8" x14ac:dyDescent="0.25">
      <c r="C370"/>
      <c r="D370"/>
      <c r="E370"/>
      <c r="F370"/>
      <c r="G370"/>
      <c r="H370"/>
    </row>
    <row r="371" spans="3:8" x14ac:dyDescent="0.25">
      <c r="C371"/>
      <c r="D371"/>
      <c r="E371"/>
      <c r="F371"/>
      <c r="G371"/>
      <c r="H371"/>
    </row>
    <row r="372" spans="3:8" x14ac:dyDescent="0.25">
      <c r="C372"/>
      <c r="D372"/>
      <c r="E372"/>
      <c r="F372"/>
      <c r="G372"/>
      <c r="H372"/>
    </row>
    <row r="373" spans="3:8" x14ac:dyDescent="0.25">
      <c r="C373"/>
      <c r="D373"/>
      <c r="E373"/>
      <c r="F373"/>
      <c r="G373"/>
      <c r="H373"/>
    </row>
    <row r="374" spans="3:8" x14ac:dyDescent="0.25">
      <c r="C374"/>
      <c r="D374"/>
      <c r="E374"/>
      <c r="F374"/>
      <c r="G374"/>
      <c r="H374"/>
    </row>
    <row r="375" spans="3:8" x14ac:dyDescent="0.25">
      <c r="C375"/>
      <c r="D375"/>
      <c r="E375"/>
      <c r="F375"/>
      <c r="G375"/>
      <c r="H375"/>
    </row>
    <row r="376" spans="3:8" x14ac:dyDescent="0.25">
      <c r="C376"/>
      <c r="D376"/>
      <c r="E376"/>
      <c r="F376"/>
      <c r="G376"/>
      <c r="H376"/>
    </row>
    <row r="377" spans="3:8" x14ac:dyDescent="0.25">
      <c r="C377"/>
      <c r="D377"/>
      <c r="E377"/>
      <c r="F377"/>
      <c r="G377"/>
      <c r="H377"/>
    </row>
    <row r="378" spans="3:8" x14ac:dyDescent="0.25">
      <c r="C378"/>
      <c r="D378"/>
      <c r="E378"/>
      <c r="F378"/>
      <c r="G378"/>
      <c r="H378"/>
    </row>
    <row r="379" spans="3:8" x14ac:dyDescent="0.25">
      <c r="C379"/>
      <c r="D379"/>
      <c r="E379"/>
      <c r="F379"/>
      <c r="G379"/>
      <c r="H379"/>
    </row>
    <row r="380" spans="3:8" x14ac:dyDescent="0.25">
      <c r="C380"/>
      <c r="D380"/>
      <c r="E380"/>
      <c r="F380"/>
      <c r="G380"/>
      <c r="H380"/>
    </row>
    <row r="381" spans="3:8" x14ac:dyDescent="0.25">
      <c r="C381"/>
      <c r="D381"/>
      <c r="E381"/>
      <c r="F381"/>
      <c r="G381"/>
      <c r="H381"/>
    </row>
    <row r="382" spans="3:8" x14ac:dyDescent="0.25">
      <c r="C382"/>
      <c r="D382"/>
      <c r="E382"/>
      <c r="F382"/>
      <c r="G382"/>
      <c r="H382"/>
    </row>
    <row r="383" spans="3:8" x14ac:dyDescent="0.25">
      <c r="C383"/>
      <c r="D383"/>
      <c r="E383"/>
      <c r="F383"/>
      <c r="G383"/>
      <c r="H383"/>
    </row>
    <row r="384" spans="3:8" x14ac:dyDescent="0.25">
      <c r="C384"/>
      <c r="D384"/>
      <c r="E384"/>
      <c r="F384"/>
      <c r="G384"/>
      <c r="H384"/>
    </row>
    <row r="385" spans="3:8" x14ac:dyDescent="0.25">
      <c r="C385"/>
      <c r="D385"/>
      <c r="E385"/>
      <c r="F385"/>
      <c r="G385"/>
      <c r="H385"/>
    </row>
    <row r="386" spans="3:8" x14ac:dyDescent="0.25">
      <c r="C386"/>
      <c r="D386"/>
      <c r="E386"/>
      <c r="F386"/>
      <c r="G386"/>
      <c r="H386"/>
    </row>
    <row r="387" spans="3:8" x14ac:dyDescent="0.25">
      <c r="C387"/>
      <c r="D387"/>
      <c r="E387"/>
      <c r="F387"/>
      <c r="G387"/>
      <c r="H387"/>
    </row>
    <row r="388" spans="3:8" x14ac:dyDescent="0.25">
      <c r="C388"/>
      <c r="D388"/>
      <c r="E388"/>
      <c r="F388"/>
      <c r="G388"/>
      <c r="H388"/>
    </row>
    <row r="389" spans="3:8" x14ac:dyDescent="0.25">
      <c r="C389"/>
      <c r="D389"/>
      <c r="E389"/>
      <c r="F389"/>
      <c r="G389"/>
      <c r="H389"/>
    </row>
    <row r="390" spans="3:8" x14ac:dyDescent="0.25">
      <c r="C390"/>
      <c r="D390"/>
      <c r="E390"/>
      <c r="F390"/>
      <c r="G390"/>
      <c r="H390"/>
    </row>
    <row r="391" spans="3:8" x14ac:dyDescent="0.25">
      <c r="C391"/>
      <c r="D391"/>
      <c r="E391"/>
      <c r="F391"/>
      <c r="G391"/>
      <c r="H391"/>
    </row>
    <row r="392" spans="3:8" x14ac:dyDescent="0.25">
      <c r="C392"/>
      <c r="D392"/>
      <c r="E392"/>
      <c r="F392"/>
      <c r="G392"/>
      <c r="H392"/>
    </row>
    <row r="393" spans="3:8" x14ac:dyDescent="0.25">
      <c r="C393"/>
      <c r="D393"/>
      <c r="E393"/>
      <c r="F393"/>
      <c r="G393"/>
      <c r="H393"/>
    </row>
    <row r="394" spans="3:8" x14ac:dyDescent="0.25">
      <c r="C394"/>
      <c r="D394"/>
      <c r="E394"/>
      <c r="F394"/>
      <c r="G394"/>
      <c r="H394"/>
    </row>
    <row r="395" spans="3:8" x14ac:dyDescent="0.25">
      <c r="C395"/>
      <c r="D395"/>
      <c r="E395"/>
      <c r="F395"/>
      <c r="G395"/>
      <c r="H395"/>
    </row>
    <row r="396" spans="3:8" x14ac:dyDescent="0.25">
      <c r="C396"/>
      <c r="D396"/>
      <c r="E396"/>
      <c r="F396"/>
      <c r="G396"/>
      <c r="H396"/>
    </row>
    <row r="397" spans="3:8" x14ac:dyDescent="0.25">
      <c r="C397"/>
      <c r="D397"/>
      <c r="E397"/>
      <c r="F397"/>
      <c r="G397"/>
      <c r="H397"/>
    </row>
    <row r="398" spans="3:8" x14ac:dyDescent="0.25">
      <c r="C398"/>
      <c r="D398"/>
      <c r="E398"/>
      <c r="F398"/>
      <c r="G398"/>
      <c r="H398"/>
    </row>
    <row r="399" spans="3:8" x14ac:dyDescent="0.25">
      <c r="C399"/>
      <c r="D399"/>
      <c r="E399"/>
      <c r="F399"/>
      <c r="G399"/>
      <c r="H399"/>
    </row>
    <row r="400" spans="3:8" x14ac:dyDescent="0.25">
      <c r="C400"/>
      <c r="D400"/>
      <c r="E400"/>
      <c r="F400"/>
      <c r="G400"/>
      <c r="H400"/>
    </row>
    <row r="401" spans="3:8" x14ac:dyDescent="0.25">
      <c r="C401"/>
      <c r="D401"/>
      <c r="E401"/>
      <c r="F401"/>
      <c r="G401"/>
      <c r="H401"/>
    </row>
    <row r="402" spans="3:8" x14ac:dyDescent="0.25">
      <c r="C402"/>
      <c r="D402"/>
      <c r="E402"/>
      <c r="F402"/>
      <c r="G402"/>
      <c r="H402"/>
    </row>
    <row r="403" spans="3:8" x14ac:dyDescent="0.25">
      <c r="C403"/>
      <c r="D403"/>
      <c r="E403"/>
      <c r="F403"/>
      <c r="G403"/>
      <c r="H403"/>
    </row>
    <row r="404" spans="3:8" x14ac:dyDescent="0.25">
      <c r="C404"/>
      <c r="D404"/>
      <c r="E404"/>
      <c r="F404"/>
      <c r="G404"/>
      <c r="H404"/>
    </row>
    <row r="405" spans="3:8" x14ac:dyDescent="0.25">
      <c r="C405"/>
      <c r="D405"/>
      <c r="E405"/>
      <c r="F405"/>
      <c r="G405"/>
      <c r="H405"/>
    </row>
    <row r="406" spans="3:8" x14ac:dyDescent="0.25">
      <c r="C406"/>
      <c r="D406"/>
      <c r="E406"/>
      <c r="F406"/>
      <c r="G406"/>
      <c r="H406"/>
    </row>
    <row r="407" spans="3:8" x14ac:dyDescent="0.25">
      <c r="C407"/>
      <c r="D407"/>
      <c r="E407"/>
      <c r="F407"/>
      <c r="G407"/>
      <c r="H407"/>
    </row>
    <row r="408" spans="3:8" x14ac:dyDescent="0.25">
      <c r="C408"/>
      <c r="D408"/>
      <c r="E408"/>
      <c r="F408"/>
      <c r="G408"/>
      <c r="H408"/>
    </row>
    <row r="409" spans="3:8" x14ac:dyDescent="0.25">
      <c r="C409"/>
      <c r="D409"/>
      <c r="E409"/>
      <c r="F409"/>
      <c r="G409"/>
      <c r="H409"/>
    </row>
    <row r="410" spans="3:8" x14ac:dyDescent="0.25">
      <c r="C410"/>
      <c r="D410"/>
      <c r="E410"/>
      <c r="F410"/>
      <c r="G410"/>
      <c r="H410"/>
    </row>
    <row r="411" spans="3:8" x14ac:dyDescent="0.25">
      <c r="C411"/>
      <c r="D411"/>
      <c r="E411"/>
      <c r="F411"/>
      <c r="G411"/>
      <c r="H411"/>
    </row>
    <row r="412" spans="3:8" x14ac:dyDescent="0.25">
      <c r="C412"/>
      <c r="D412"/>
      <c r="E412"/>
      <c r="F412"/>
      <c r="G412"/>
      <c r="H412"/>
    </row>
    <row r="413" spans="3:8" x14ac:dyDescent="0.25">
      <c r="C413"/>
      <c r="D413"/>
      <c r="E413"/>
      <c r="F413"/>
      <c r="G413"/>
      <c r="H413"/>
    </row>
    <row r="414" spans="3:8" x14ac:dyDescent="0.25">
      <c r="C414"/>
      <c r="D414"/>
      <c r="E414"/>
      <c r="F414"/>
      <c r="G414"/>
      <c r="H414"/>
    </row>
    <row r="415" spans="3:8" x14ac:dyDescent="0.25">
      <c r="C415"/>
      <c r="D415"/>
      <c r="E415"/>
      <c r="F415"/>
      <c r="G415"/>
      <c r="H415"/>
    </row>
    <row r="416" spans="3:8" x14ac:dyDescent="0.25">
      <c r="C416"/>
      <c r="D416"/>
      <c r="E416"/>
      <c r="F416"/>
      <c r="G416"/>
      <c r="H416"/>
    </row>
    <row r="417" spans="3:8" x14ac:dyDescent="0.25">
      <c r="C417"/>
      <c r="D417"/>
      <c r="E417"/>
      <c r="F417"/>
      <c r="G417"/>
      <c r="H417"/>
    </row>
    <row r="418" spans="3:8" x14ac:dyDescent="0.25">
      <c r="C418"/>
      <c r="D418"/>
      <c r="E418"/>
      <c r="F418"/>
      <c r="G418"/>
      <c r="H418"/>
    </row>
    <row r="419" spans="3:8" x14ac:dyDescent="0.25">
      <c r="C419"/>
      <c r="D419"/>
      <c r="E419"/>
      <c r="F419"/>
      <c r="G419"/>
      <c r="H419"/>
    </row>
    <row r="420" spans="3:8" x14ac:dyDescent="0.25">
      <c r="C420"/>
      <c r="D420"/>
      <c r="E420"/>
      <c r="F420"/>
      <c r="G420"/>
      <c r="H420"/>
    </row>
    <row r="421" spans="3:8" x14ac:dyDescent="0.25">
      <c r="C421"/>
      <c r="D421"/>
      <c r="E421"/>
      <c r="F421"/>
      <c r="G421"/>
      <c r="H421"/>
    </row>
    <row r="422" spans="3:8" x14ac:dyDescent="0.25">
      <c r="C422"/>
      <c r="D422"/>
      <c r="E422"/>
      <c r="F422"/>
      <c r="G422"/>
      <c r="H422"/>
    </row>
    <row r="423" spans="3:8" x14ac:dyDescent="0.25">
      <c r="C423"/>
      <c r="D423"/>
      <c r="E423"/>
      <c r="F423"/>
      <c r="G423"/>
      <c r="H423"/>
    </row>
    <row r="424" spans="3:8" x14ac:dyDescent="0.25">
      <c r="C424"/>
      <c r="D424"/>
      <c r="E424"/>
      <c r="F424"/>
      <c r="G424"/>
      <c r="H424"/>
    </row>
    <row r="425" spans="3:8" x14ac:dyDescent="0.25">
      <c r="C425"/>
      <c r="D425"/>
      <c r="E425"/>
      <c r="F425"/>
      <c r="G425"/>
      <c r="H425"/>
    </row>
    <row r="426" spans="3:8" x14ac:dyDescent="0.25">
      <c r="C426"/>
      <c r="D426"/>
      <c r="E426"/>
      <c r="F426"/>
      <c r="G426"/>
      <c r="H426"/>
    </row>
    <row r="427" spans="3:8" x14ac:dyDescent="0.25">
      <c r="C427"/>
      <c r="D427"/>
      <c r="E427"/>
      <c r="F427"/>
      <c r="G427"/>
      <c r="H427"/>
    </row>
    <row r="428" spans="3:8" x14ac:dyDescent="0.25">
      <c r="C428"/>
      <c r="D428"/>
      <c r="E428"/>
      <c r="F428"/>
      <c r="G428"/>
      <c r="H428"/>
    </row>
    <row r="429" spans="3:8" x14ac:dyDescent="0.25">
      <c r="C429"/>
      <c r="D429"/>
      <c r="E429"/>
      <c r="F429"/>
      <c r="G429"/>
      <c r="H429"/>
    </row>
    <row r="430" spans="3:8" x14ac:dyDescent="0.25">
      <c r="C430"/>
      <c r="D430"/>
      <c r="E430"/>
      <c r="F430"/>
      <c r="G430"/>
      <c r="H430"/>
    </row>
    <row r="431" spans="3:8" x14ac:dyDescent="0.25">
      <c r="C431"/>
      <c r="D431"/>
      <c r="E431"/>
      <c r="F431"/>
      <c r="G431"/>
      <c r="H431"/>
    </row>
    <row r="432" spans="3:8" x14ac:dyDescent="0.25">
      <c r="C432"/>
      <c r="D432"/>
      <c r="E432"/>
      <c r="F432"/>
      <c r="G432"/>
      <c r="H432"/>
    </row>
    <row r="433" spans="3:8" x14ac:dyDescent="0.25">
      <c r="C433"/>
      <c r="D433"/>
      <c r="E433"/>
      <c r="F433"/>
      <c r="G433"/>
      <c r="H433"/>
    </row>
    <row r="434" spans="3:8" x14ac:dyDescent="0.25">
      <c r="C434"/>
      <c r="D434"/>
      <c r="E434"/>
      <c r="F434"/>
      <c r="G434"/>
      <c r="H434"/>
    </row>
    <row r="435" spans="3:8" x14ac:dyDescent="0.25">
      <c r="C435"/>
      <c r="D435"/>
      <c r="E435"/>
      <c r="F435"/>
      <c r="G435"/>
      <c r="H435"/>
    </row>
    <row r="436" spans="3:8" x14ac:dyDescent="0.25">
      <c r="C436"/>
      <c r="D436"/>
      <c r="E436"/>
      <c r="F436"/>
      <c r="G436"/>
      <c r="H436"/>
    </row>
    <row r="437" spans="3:8" x14ac:dyDescent="0.25">
      <c r="C437"/>
      <c r="D437"/>
      <c r="E437"/>
      <c r="F437"/>
      <c r="G437"/>
      <c r="H437"/>
    </row>
    <row r="438" spans="3:8" x14ac:dyDescent="0.25">
      <c r="C438"/>
      <c r="D438"/>
      <c r="E438"/>
      <c r="F438"/>
      <c r="G438"/>
      <c r="H438"/>
    </row>
    <row r="439" spans="3:8" x14ac:dyDescent="0.25">
      <c r="C439"/>
      <c r="D439"/>
      <c r="E439"/>
      <c r="F439"/>
      <c r="G439"/>
      <c r="H439"/>
    </row>
    <row r="440" spans="3:8" x14ac:dyDescent="0.25">
      <c r="C440"/>
      <c r="D440"/>
      <c r="E440"/>
      <c r="F440"/>
      <c r="G440"/>
      <c r="H440"/>
    </row>
    <row r="441" spans="3:8" x14ac:dyDescent="0.25">
      <c r="C441"/>
      <c r="D441"/>
      <c r="E441"/>
      <c r="F441"/>
      <c r="G441"/>
      <c r="H441"/>
    </row>
    <row r="442" spans="3:8" x14ac:dyDescent="0.25">
      <c r="C442"/>
      <c r="D442"/>
      <c r="E442"/>
      <c r="F442"/>
      <c r="G442"/>
      <c r="H442"/>
    </row>
    <row r="443" spans="3:8" x14ac:dyDescent="0.25">
      <c r="C443"/>
      <c r="D443"/>
      <c r="E443"/>
      <c r="F443"/>
      <c r="G443"/>
      <c r="H443"/>
    </row>
    <row r="444" spans="3:8" x14ac:dyDescent="0.25">
      <c r="C444"/>
      <c r="D444"/>
      <c r="E444"/>
      <c r="F444"/>
      <c r="G444"/>
      <c r="H444"/>
    </row>
    <row r="445" spans="3:8" x14ac:dyDescent="0.25">
      <c r="C445"/>
      <c r="D445"/>
      <c r="E445"/>
      <c r="F445"/>
      <c r="G445"/>
      <c r="H445"/>
    </row>
    <row r="446" spans="3:8" x14ac:dyDescent="0.25">
      <c r="C446"/>
      <c r="D446"/>
      <c r="E446"/>
      <c r="F446"/>
      <c r="G446"/>
      <c r="H446"/>
    </row>
    <row r="447" spans="3:8" x14ac:dyDescent="0.25">
      <c r="C447"/>
      <c r="D447"/>
      <c r="E447"/>
      <c r="F447"/>
      <c r="G447"/>
      <c r="H447"/>
    </row>
    <row r="448" spans="3:8" x14ac:dyDescent="0.25">
      <c r="C448"/>
      <c r="D448"/>
      <c r="E448"/>
      <c r="F448"/>
      <c r="G448"/>
      <c r="H448"/>
    </row>
    <row r="449" spans="3:8" x14ac:dyDescent="0.25">
      <c r="C449"/>
      <c r="D449"/>
      <c r="E449"/>
      <c r="F449"/>
      <c r="G449"/>
      <c r="H449"/>
    </row>
    <row r="450" spans="3:8" x14ac:dyDescent="0.25">
      <c r="C450"/>
      <c r="D450"/>
      <c r="E450"/>
      <c r="F450"/>
      <c r="G450"/>
      <c r="H450"/>
    </row>
    <row r="451" spans="3:8" x14ac:dyDescent="0.25">
      <c r="C451"/>
      <c r="D451"/>
      <c r="E451"/>
      <c r="F451"/>
      <c r="G451"/>
      <c r="H451"/>
    </row>
    <row r="452" spans="3:8" x14ac:dyDescent="0.25">
      <c r="C452"/>
      <c r="D452"/>
      <c r="E452"/>
      <c r="F452"/>
      <c r="G452"/>
      <c r="H452"/>
    </row>
    <row r="453" spans="3:8" x14ac:dyDescent="0.25">
      <c r="C453"/>
      <c r="D453"/>
      <c r="E453"/>
      <c r="F453"/>
      <c r="G453"/>
      <c r="H453"/>
    </row>
    <row r="454" spans="3:8" x14ac:dyDescent="0.25">
      <c r="C454"/>
      <c r="D454"/>
      <c r="E454"/>
      <c r="F454"/>
      <c r="G454"/>
      <c r="H454"/>
    </row>
    <row r="455" spans="3:8" x14ac:dyDescent="0.25">
      <c r="C455"/>
      <c r="D455"/>
      <c r="E455"/>
      <c r="F455"/>
      <c r="G455"/>
      <c r="H455"/>
    </row>
    <row r="456" spans="3:8" x14ac:dyDescent="0.25">
      <c r="C456"/>
      <c r="D456"/>
      <c r="E456"/>
      <c r="F456"/>
      <c r="G456"/>
      <c r="H456"/>
    </row>
    <row r="457" spans="3:8" x14ac:dyDescent="0.25">
      <c r="C457"/>
      <c r="D457"/>
      <c r="E457"/>
      <c r="F457"/>
      <c r="G457"/>
      <c r="H457"/>
    </row>
    <row r="458" spans="3:8" x14ac:dyDescent="0.25">
      <c r="C458"/>
      <c r="D458"/>
      <c r="E458"/>
      <c r="F458"/>
      <c r="G458"/>
      <c r="H458"/>
    </row>
    <row r="459" spans="3:8" x14ac:dyDescent="0.25">
      <c r="C459"/>
      <c r="D459"/>
      <c r="E459"/>
      <c r="F459"/>
      <c r="G459"/>
      <c r="H459"/>
    </row>
    <row r="460" spans="3:8" x14ac:dyDescent="0.25">
      <c r="C460"/>
      <c r="D460"/>
      <c r="E460"/>
      <c r="F460"/>
      <c r="G460"/>
      <c r="H460"/>
    </row>
    <row r="461" spans="3:8" x14ac:dyDescent="0.25">
      <c r="C461"/>
      <c r="D461"/>
      <c r="E461"/>
      <c r="F461"/>
      <c r="G461"/>
      <c r="H461"/>
    </row>
    <row r="462" spans="3:8" x14ac:dyDescent="0.25">
      <c r="C462"/>
      <c r="D462"/>
      <c r="E462"/>
      <c r="F462"/>
      <c r="G462"/>
      <c r="H462"/>
    </row>
    <row r="463" spans="3:8" x14ac:dyDescent="0.25">
      <c r="C463"/>
      <c r="D463"/>
      <c r="E463"/>
      <c r="F463"/>
      <c r="G463"/>
      <c r="H463"/>
    </row>
    <row r="464" spans="3:8" x14ac:dyDescent="0.25">
      <c r="C464"/>
      <c r="D464"/>
      <c r="E464"/>
      <c r="F464"/>
      <c r="G464"/>
      <c r="H464"/>
    </row>
    <row r="465" spans="3:8" x14ac:dyDescent="0.25">
      <c r="C465"/>
      <c r="D465"/>
      <c r="E465"/>
      <c r="F465"/>
      <c r="G465"/>
      <c r="H465"/>
    </row>
    <row r="466" spans="3:8" x14ac:dyDescent="0.25">
      <c r="C466"/>
      <c r="D466"/>
      <c r="E466"/>
      <c r="F466"/>
      <c r="G466"/>
      <c r="H466"/>
    </row>
    <row r="467" spans="3:8" x14ac:dyDescent="0.25">
      <c r="C467"/>
      <c r="D467"/>
      <c r="E467"/>
      <c r="F467"/>
      <c r="G467"/>
      <c r="H467"/>
    </row>
  </sheetData>
  <mergeCells count="1">
    <mergeCell ref="B1:I2"/>
  </mergeCells>
  <pageMargins left="0.25" right="0.25" top="0.75" bottom="0.75" header="0.3" footer="0.3"/>
  <pageSetup scale="81" fitToHeight="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1B121-9F6A-4990-8DEB-DF4D4D7B2424}">
  <sheetPr>
    <pageSetUpPr fitToPage="1"/>
  </sheetPr>
  <dimension ref="B1:M83"/>
  <sheetViews>
    <sheetView showGridLines="0" zoomScaleNormal="100" workbookViewId="0">
      <selection activeCell="C7" sqref="C7"/>
    </sheetView>
  </sheetViews>
  <sheetFormatPr defaultRowHeight="15.75" x14ac:dyDescent="0.25"/>
  <cols>
    <col min="1" max="1" width="4.85546875" customWidth="1"/>
    <col min="2" max="2" width="16.5703125" style="30" bestFit="1" customWidth="1"/>
    <col min="3" max="3" width="20.85546875" style="28" bestFit="1" customWidth="1"/>
    <col min="4" max="4" width="15.140625" style="28" bestFit="1" customWidth="1"/>
    <col min="5" max="5" width="16.42578125" style="28" bestFit="1" customWidth="1"/>
    <col min="6" max="7" width="14.140625" style="28" bestFit="1" customWidth="1"/>
    <col min="8" max="8" width="14.42578125" style="28" bestFit="1" customWidth="1"/>
    <col min="9" max="13" width="18.140625" style="1" bestFit="1" customWidth="1"/>
    <col min="14" max="14" width="9.140625" customWidth="1"/>
  </cols>
  <sheetData>
    <row r="1" spans="2:13" ht="18.75" x14ac:dyDescent="0.25">
      <c r="B1" s="76" t="s">
        <v>48</v>
      </c>
      <c r="C1" s="76"/>
      <c r="D1" s="76"/>
      <c r="E1" s="76"/>
      <c r="F1" s="76"/>
      <c r="G1" s="76"/>
      <c r="H1" s="76"/>
      <c r="I1" s="10"/>
      <c r="J1" s="10"/>
    </row>
    <row r="2" spans="2:13" ht="18.75" x14ac:dyDescent="0.25">
      <c r="B2" s="76"/>
      <c r="C2" s="76"/>
      <c r="D2" s="76"/>
      <c r="E2" s="76"/>
      <c r="F2" s="76"/>
      <c r="G2" s="76"/>
      <c r="H2" s="76"/>
      <c r="I2" s="10"/>
      <c r="J2" s="10"/>
    </row>
    <row r="3" spans="2:13" ht="18.75" x14ac:dyDescent="0.3">
      <c r="B3" s="29" t="s">
        <v>50</v>
      </c>
      <c r="C3" s="30" t="s">
        <v>43</v>
      </c>
      <c r="D3" s="28" t="s">
        <v>9</v>
      </c>
      <c r="E3" s="28" t="s">
        <v>10</v>
      </c>
      <c r="F3" s="28" t="s">
        <v>45</v>
      </c>
      <c r="G3" s="28" t="s">
        <v>11</v>
      </c>
      <c r="H3" s="28" t="s">
        <v>12</v>
      </c>
      <c r="I3" s="6"/>
      <c r="J3" s="6"/>
      <c r="K3"/>
      <c r="L3"/>
      <c r="M3"/>
    </row>
    <row r="4" spans="2:13" ht="18.75" x14ac:dyDescent="0.3">
      <c r="B4" s="32" t="s">
        <v>25</v>
      </c>
      <c r="C4" s="28">
        <v>427</v>
      </c>
      <c r="D4" s="31">
        <v>0.33957845433255268</v>
      </c>
      <c r="E4" s="31">
        <v>0.35831381733021078</v>
      </c>
      <c r="F4" s="31">
        <v>0.69789227166276346</v>
      </c>
      <c r="G4" s="31">
        <v>0.24355971896955503</v>
      </c>
      <c r="H4" s="31">
        <v>5.8548009367681501E-2</v>
      </c>
      <c r="I4" s="6"/>
      <c r="J4" s="6"/>
      <c r="K4"/>
      <c r="L4"/>
      <c r="M4"/>
    </row>
    <row r="5" spans="2:13" ht="18.75" x14ac:dyDescent="0.3">
      <c r="B5" s="32" t="s">
        <v>15</v>
      </c>
      <c r="C5" s="28">
        <v>180</v>
      </c>
      <c r="D5" s="31">
        <v>0.40555555555555556</v>
      </c>
      <c r="E5" s="31">
        <v>0.35555555555555557</v>
      </c>
      <c r="F5" s="31">
        <v>0.76111111111111107</v>
      </c>
      <c r="G5" s="31">
        <v>0.13333333333333333</v>
      </c>
      <c r="H5" s="31">
        <v>0.10555555555555556</v>
      </c>
      <c r="I5" s="6"/>
      <c r="J5" s="6"/>
      <c r="K5"/>
      <c r="L5"/>
      <c r="M5"/>
    </row>
    <row r="6" spans="2:13" ht="18.75" x14ac:dyDescent="0.3">
      <c r="B6" s="32" t="s">
        <v>14</v>
      </c>
      <c r="C6" s="28">
        <v>270</v>
      </c>
      <c r="D6" s="31">
        <v>0.31111111111111112</v>
      </c>
      <c r="E6" s="31">
        <v>0.4777777777777778</v>
      </c>
      <c r="F6" s="31">
        <v>0.78888888888888886</v>
      </c>
      <c r="G6" s="31">
        <v>0.14814814814814814</v>
      </c>
      <c r="H6" s="31">
        <v>6.2962962962962957E-2</v>
      </c>
      <c r="I6" s="6"/>
      <c r="J6" s="6"/>
      <c r="K6"/>
      <c r="L6"/>
      <c r="M6"/>
    </row>
    <row r="7" spans="2:13" ht="18.75" x14ac:dyDescent="0.3">
      <c r="B7" s="32" t="s">
        <v>41</v>
      </c>
      <c r="C7" s="28">
        <v>877</v>
      </c>
      <c r="D7" s="31">
        <v>0.34435575826681869</v>
      </c>
      <c r="E7" s="31">
        <v>0.39452679589509693</v>
      </c>
      <c r="F7" s="31">
        <v>0.73888255416191562</v>
      </c>
      <c r="G7" s="31">
        <v>0.19156214367160776</v>
      </c>
      <c r="H7" s="31">
        <v>6.9555302166476624E-2</v>
      </c>
      <c r="I7" s="6"/>
      <c r="J7" s="6"/>
      <c r="K7"/>
      <c r="L7"/>
      <c r="M7"/>
    </row>
    <row r="8" spans="2:13" ht="18.75" x14ac:dyDescent="0.3">
      <c r="C8" s="30"/>
      <c r="D8" s="30"/>
      <c r="E8" s="30"/>
      <c r="F8" s="30"/>
      <c r="G8" s="30"/>
      <c r="H8" s="30"/>
      <c r="I8" s="6"/>
      <c r="J8" s="6"/>
      <c r="K8"/>
      <c r="L8"/>
      <c r="M8"/>
    </row>
    <row r="9" spans="2:13" ht="18.75" x14ac:dyDescent="0.3">
      <c r="C9" s="30"/>
      <c r="D9" s="30"/>
      <c r="E9" s="30"/>
      <c r="F9" s="30"/>
      <c r="G9" s="30"/>
      <c r="H9" s="30"/>
      <c r="I9" s="6"/>
      <c r="J9" s="6"/>
      <c r="K9"/>
      <c r="L9"/>
      <c r="M9"/>
    </row>
    <row r="10" spans="2:13" ht="18.75" x14ac:dyDescent="0.3">
      <c r="B10" s="33" t="s">
        <v>57</v>
      </c>
      <c r="C10" s="30"/>
      <c r="D10" s="30"/>
      <c r="E10" s="30"/>
      <c r="F10" s="30"/>
      <c r="G10" s="30"/>
      <c r="H10" s="30"/>
      <c r="I10" s="6"/>
      <c r="J10" s="6"/>
      <c r="K10"/>
      <c r="L10"/>
      <c r="M10"/>
    </row>
    <row r="11" spans="2:13" ht="18.75" x14ac:dyDescent="0.3">
      <c r="B11" s="30" t="s">
        <v>69</v>
      </c>
      <c r="C11" s="30"/>
      <c r="D11" s="30"/>
      <c r="E11" s="30"/>
      <c r="F11" s="30"/>
      <c r="G11" s="30"/>
      <c r="H11" s="30"/>
      <c r="I11" s="6"/>
      <c r="J11" s="6"/>
      <c r="K11"/>
      <c r="L11"/>
      <c r="M11"/>
    </row>
    <row r="12" spans="2:13" ht="18.75" x14ac:dyDescent="0.3">
      <c r="C12" s="30"/>
      <c r="D12" s="30"/>
      <c r="E12" s="30"/>
      <c r="F12" s="30"/>
      <c r="G12" s="30"/>
      <c r="H12" s="30"/>
      <c r="I12" s="6"/>
      <c r="J12" s="6"/>
      <c r="K12"/>
      <c r="L12"/>
      <c r="M12"/>
    </row>
    <row r="13" spans="2:13" ht="18.75" x14ac:dyDescent="0.3">
      <c r="B13" s="30" t="s">
        <v>68</v>
      </c>
      <c r="C13" s="30"/>
      <c r="D13" s="30"/>
      <c r="E13" s="30"/>
      <c r="F13" s="30"/>
      <c r="G13" s="30"/>
      <c r="H13" s="30"/>
      <c r="I13" s="6"/>
      <c r="J13" s="6"/>
      <c r="K13"/>
      <c r="L13"/>
      <c r="M13"/>
    </row>
    <row r="14" spans="2:13" ht="18.75" x14ac:dyDescent="0.3">
      <c r="C14" s="30"/>
      <c r="D14" s="30"/>
      <c r="E14" s="30"/>
      <c r="F14" s="30"/>
      <c r="G14" s="30"/>
      <c r="H14" s="30"/>
      <c r="I14" s="6"/>
      <c r="J14" s="6"/>
      <c r="K14"/>
      <c r="L14"/>
      <c r="M14"/>
    </row>
    <row r="15" spans="2:13" ht="18.75" x14ac:dyDescent="0.25">
      <c r="B15" s="30" t="s">
        <v>67</v>
      </c>
      <c r="C15" s="30"/>
      <c r="D15" s="30"/>
      <c r="E15" s="30"/>
      <c r="F15" s="30"/>
      <c r="G15" s="30"/>
      <c r="H15" s="30"/>
      <c r="I15" s="10"/>
      <c r="J15" s="10"/>
    </row>
    <row r="16" spans="2:13" ht="18.75" x14ac:dyDescent="0.25">
      <c r="C16" s="30"/>
      <c r="D16" s="30"/>
      <c r="E16" s="30"/>
      <c r="F16" s="30"/>
      <c r="G16" s="30"/>
      <c r="H16" s="30"/>
      <c r="I16" s="10"/>
      <c r="J16" s="10"/>
    </row>
    <row r="17" spans="2:10" ht="18.75" x14ac:dyDescent="0.25">
      <c r="B17" s="30" t="s">
        <v>66</v>
      </c>
      <c r="C17" s="30"/>
      <c r="D17" s="30"/>
      <c r="E17" s="30"/>
      <c r="F17" s="30"/>
      <c r="G17" s="30"/>
      <c r="H17" s="30"/>
      <c r="I17" s="10"/>
      <c r="J17" s="10"/>
    </row>
    <row r="18" spans="2:10" ht="18.75" x14ac:dyDescent="0.25">
      <c r="C18" s="30"/>
      <c r="D18" s="30"/>
      <c r="E18" s="30"/>
      <c r="F18" s="30"/>
      <c r="G18" s="30"/>
      <c r="H18" s="30"/>
      <c r="I18" s="10"/>
      <c r="J18" s="10"/>
    </row>
    <row r="19" spans="2:10" ht="18.75" x14ac:dyDescent="0.25">
      <c r="B19" s="30" t="s">
        <v>64</v>
      </c>
      <c r="C19" s="30"/>
      <c r="D19" s="30"/>
      <c r="E19" s="30"/>
      <c r="F19" s="30"/>
      <c r="G19" s="30"/>
      <c r="H19" s="30"/>
      <c r="I19" s="10"/>
      <c r="J19" s="10"/>
    </row>
    <row r="20" spans="2:10" ht="18.75" x14ac:dyDescent="0.25">
      <c r="C20" s="30"/>
      <c r="D20" s="30"/>
      <c r="E20" s="30"/>
      <c r="F20" s="30"/>
      <c r="G20" s="30"/>
      <c r="H20" s="30"/>
      <c r="I20" s="10"/>
      <c r="J20" s="10"/>
    </row>
    <row r="21" spans="2:10" ht="18.75" x14ac:dyDescent="0.25">
      <c r="B21" s="30" t="s">
        <v>65</v>
      </c>
      <c r="C21" s="30"/>
      <c r="D21" s="30"/>
      <c r="E21" s="30"/>
      <c r="F21" s="30"/>
      <c r="G21" s="30"/>
      <c r="H21" s="30"/>
      <c r="I21" s="10"/>
      <c r="J21" s="10"/>
    </row>
    <row r="22" spans="2:10" x14ac:dyDescent="0.25">
      <c r="C22" s="30"/>
      <c r="D22" s="30"/>
      <c r="E22" s="30"/>
      <c r="F22" s="30"/>
      <c r="G22" s="30"/>
      <c r="H22" s="30"/>
    </row>
    <row r="23" spans="2:10" x14ac:dyDescent="0.25">
      <c r="C23" s="30"/>
      <c r="D23" s="30"/>
      <c r="E23" s="30"/>
      <c r="F23" s="30"/>
      <c r="G23" s="30"/>
      <c r="H23" s="30"/>
    </row>
    <row r="24" spans="2:10" x14ac:dyDescent="0.25">
      <c r="C24" s="30"/>
      <c r="D24" s="30"/>
      <c r="E24" s="30"/>
      <c r="F24" s="30"/>
      <c r="G24" s="30"/>
      <c r="H24" s="30"/>
    </row>
    <row r="25" spans="2:10" x14ac:dyDescent="0.25">
      <c r="C25" s="30"/>
      <c r="D25" s="30"/>
      <c r="E25" s="30"/>
      <c r="F25" s="30"/>
      <c r="G25" s="30"/>
      <c r="H25" s="30"/>
    </row>
    <row r="26" spans="2:10" x14ac:dyDescent="0.25">
      <c r="C26" s="30"/>
      <c r="D26" s="30"/>
      <c r="E26" s="30"/>
      <c r="F26" s="30"/>
      <c r="G26" s="30"/>
      <c r="H26" s="30"/>
    </row>
    <row r="27" spans="2:10" x14ac:dyDescent="0.25">
      <c r="C27" s="30"/>
      <c r="D27" s="30"/>
      <c r="E27" s="30"/>
      <c r="F27" s="30"/>
      <c r="G27" s="30"/>
      <c r="H27" s="30"/>
    </row>
    <row r="28" spans="2:10" x14ac:dyDescent="0.25">
      <c r="C28" s="30"/>
      <c r="D28" s="30"/>
      <c r="E28" s="30"/>
      <c r="F28" s="30"/>
      <c r="G28" s="30"/>
      <c r="H28" s="30"/>
    </row>
    <row r="29" spans="2:10" x14ac:dyDescent="0.25">
      <c r="C29" s="30"/>
      <c r="D29" s="30"/>
      <c r="E29" s="30"/>
      <c r="F29" s="30"/>
      <c r="G29" s="30"/>
      <c r="H29" s="30"/>
    </row>
    <row r="30" spans="2:10" x14ac:dyDescent="0.25">
      <c r="C30" s="30"/>
      <c r="D30" s="30"/>
      <c r="E30" s="30"/>
      <c r="F30" s="30"/>
      <c r="G30" s="30"/>
      <c r="H30" s="30"/>
    </row>
    <row r="31" spans="2:10" x14ac:dyDescent="0.25">
      <c r="C31" s="30"/>
      <c r="D31" s="30"/>
      <c r="E31" s="30"/>
      <c r="F31" s="30"/>
      <c r="G31" s="30"/>
      <c r="H31" s="30"/>
    </row>
    <row r="32" spans="2:10" x14ac:dyDescent="0.25">
      <c r="C32" s="30"/>
      <c r="D32" s="30"/>
      <c r="E32" s="30"/>
      <c r="F32" s="30"/>
      <c r="G32" s="30"/>
      <c r="H32" s="30"/>
    </row>
    <row r="33" spans="3:8" x14ac:dyDescent="0.25">
      <c r="C33" s="30"/>
      <c r="D33" s="30"/>
      <c r="E33" s="30"/>
      <c r="F33" s="30"/>
      <c r="G33" s="30"/>
      <c r="H33" s="30"/>
    </row>
    <row r="34" spans="3:8" x14ac:dyDescent="0.25">
      <c r="C34" s="30"/>
      <c r="D34" s="30"/>
      <c r="E34" s="30"/>
      <c r="F34" s="30"/>
      <c r="G34" s="30"/>
      <c r="H34" s="30"/>
    </row>
    <row r="35" spans="3:8" x14ac:dyDescent="0.25">
      <c r="C35" s="30"/>
      <c r="D35" s="30"/>
      <c r="E35" s="30"/>
      <c r="F35" s="30"/>
      <c r="G35" s="30"/>
      <c r="H35" s="30"/>
    </row>
    <row r="36" spans="3:8" x14ac:dyDescent="0.25">
      <c r="C36" s="30"/>
      <c r="D36" s="30"/>
      <c r="E36" s="30"/>
      <c r="F36" s="30"/>
      <c r="G36" s="30"/>
      <c r="H36" s="30"/>
    </row>
    <row r="37" spans="3:8" x14ac:dyDescent="0.25">
      <c r="C37" s="30"/>
      <c r="D37" s="30"/>
      <c r="E37" s="30"/>
      <c r="F37" s="30"/>
      <c r="G37" s="30"/>
      <c r="H37" s="30"/>
    </row>
    <row r="38" spans="3:8" x14ac:dyDescent="0.25">
      <c r="C38" s="30"/>
      <c r="D38" s="30"/>
      <c r="E38" s="30"/>
      <c r="F38" s="30"/>
      <c r="G38" s="30"/>
      <c r="H38" s="30"/>
    </row>
    <row r="39" spans="3:8" x14ac:dyDescent="0.25">
      <c r="C39" s="30"/>
      <c r="D39" s="30"/>
      <c r="E39" s="30"/>
      <c r="F39" s="30"/>
      <c r="G39" s="30"/>
      <c r="H39" s="30"/>
    </row>
    <row r="40" spans="3:8" x14ac:dyDescent="0.25">
      <c r="C40" s="30"/>
      <c r="D40" s="30"/>
      <c r="E40" s="30"/>
      <c r="F40" s="30"/>
      <c r="G40" s="30"/>
      <c r="H40" s="30"/>
    </row>
    <row r="41" spans="3:8" x14ac:dyDescent="0.25">
      <c r="C41" s="30"/>
      <c r="D41" s="30"/>
      <c r="E41" s="30"/>
      <c r="F41" s="30"/>
      <c r="G41" s="30"/>
      <c r="H41" s="30"/>
    </row>
    <row r="42" spans="3:8" x14ac:dyDescent="0.25">
      <c r="C42" s="30"/>
      <c r="D42" s="30"/>
      <c r="E42" s="30"/>
      <c r="F42" s="30"/>
      <c r="G42" s="30"/>
      <c r="H42" s="30"/>
    </row>
    <row r="43" spans="3:8" x14ac:dyDescent="0.25">
      <c r="C43" s="30"/>
      <c r="D43" s="30"/>
      <c r="E43" s="30"/>
      <c r="F43" s="30"/>
      <c r="G43" s="30"/>
      <c r="H43" s="30"/>
    </row>
    <row r="44" spans="3:8" x14ac:dyDescent="0.25">
      <c r="C44" s="30"/>
      <c r="D44" s="30"/>
      <c r="E44" s="30"/>
      <c r="F44" s="30"/>
      <c r="G44" s="30"/>
      <c r="H44" s="30"/>
    </row>
    <row r="45" spans="3:8" x14ac:dyDescent="0.25">
      <c r="C45" s="30"/>
      <c r="D45" s="30"/>
      <c r="E45" s="30"/>
      <c r="F45" s="30"/>
      <c r="G45" s="30"/>
      <c r="H45" s="30"/>
    </row>
    <row r="46" spans="3:8" x14ac:dyDescent="0.25">
      <c r="C46" s="30"/>
      <c r="D46" s="30"/>
      <c r="E46" s="30"/>
      <c r="F46" s="30"/>
      <c r="G46" s="30"/>
      <c r="H46" s="30"/>
    </row>
    <row r="47" spans="3:8" x14ac:dyDescent="0.25">
      <c r="C47" s="30"/>
      <c r="D47" s="30"/>
      <c r="E47" s="30"/>
      <c r="F47" s="30"/>
      <c r="G47" s="30"/>
      <c r="H47" s="30"/>
    </row>
    <row r="48" spans="3:8" x14ac:dyDescent="0.25">
      <c r="C48" s="30"/>
      <c r="D48" s="30"/>
      <c r="E48" s="30"/>
      <c r="F48" s="30"/>
      <c r="G48" s="30"/>
      <c r="H48" s="30"/>
    </row>
    <row r="49" spans="3:8" x14ac:dyDescent="0.25">
      <c r="C49" s="30"/>
      <c r="D49" s="30"/>
      <c r="E49" s="30"/>
      <c r="F49" s="30"/>
      <c r="G49" s="30"/>
      <c r="H49" s="30"/>
    </row>
    <row r="50" spans="3:8" x14ac:dyDescent="0.25">
      <c r="C50" s="30"/>
      <c r="D50" s="30"/>
      <c r="E50" s="30"/>
      <c r="F50" s="30"/>
      <c r="G50" s="30"/>
      <c r="H50" s="30"/>
    </row>
    <row r="51" spans="3:8" x14ac:dyDescent="0.25">
      <c r="C51" s="30"/>
      <c r="D51" s="30"/>
      <c r="E51" s="30"/>
      <c r="F51" s="30"/>
      <c r="G51" s="30"/>
      <c r="H51" s="30"/>
    </row>
    <row r="52" spans="3:8" x14ac:dyDescent="0.25">
      <c r="C52" s="30"/>
      <c r="D52" s="30"/>
      <c r="E52" s="30"/>
      <c r="F52" s="30"/>
      <c r="G52" s="30"/>
      <c r="H52" s="30"/>
    </row>
    <row r="53" spans="3:8" x14ac:dyDescent="0.25">
      <c r="C53" s="30"/>
      <c r="D53" s="30"/>
      <c r="E53" s="30"/>
      <c r="F53" s="30"/>
      <c r="G53" s="30"/>
      <c r="H53" s="30"/>
    </row>
    <row r="54" spans="3:8" x14ac:dyDescent="0.25">
      <c r="C54" s="30"/>
      <c r="D54" s="30"/>
      <c r="E54" s="30"/>
      <c r="F54" s="30"/>
      <c r="G54" s="30"/>
      <c r="H54" s="30"/>
    </row>
    <row r="55" spans="3:8" x14ac:dyDescent="0.25">
      <c r="C55" s="30"/>
      <c r="D55" s="30"/>
      <c r="E55" s="30"/>
      <c r="F55" s="30"/>
      <c r="G55" s="30"/>
      <c r="H55" s="30"/>
    </row>
    <row r="56" spans="3:8" x14ac:dyDescent="0.25">
      <c r="C56" s="30"/>
      <c r="D56" s="30"/>
      <c r="E56" s="30"/>
      <c r="F56" s="30"/>
      <c r="G56" s="30"/>
      <c r="H56" s="30"/>
    </row>
    <row r="57" spans="3:8" x14ac:dyDescent="0.25">
      <c r="C57" s="30"/>
      <c r="D57" s="30"/>
      <c r="E57" s="30"/>
      <c r="F57" s="30"/>
      <c r="G57" s="30"/>
      <c r="H57" s="30"/>
    </row>
    <row r="58" spans="3:8" x14ac:dyDescent="0.25">
      <c r="C58" s="30"/>
      <c r="D58" s="30"/>
      <c r="E58" s="30"/>
      <c r="F58" s="30"/>
      <c r="G58" s="30"/>
      <c r="H58" s="30"/>
    </row>
    <row r="59" spans="3:8" x14ac:dyDescent="0.25">
      <c r="C59" s="30"/>
      <c r="D59" s="30"/>
      <c r="E59" s="30"/>
      <c r="F59" s="30"/>
      <c r="G59" s="30"/>
      <c r="H59" s="30"/>
    </row>
    <row r="60" spans="3:8" x14ac:dyDescent="0.25">
      <c r="C60" s="30"/>
      <c r="D60" s="30"/>
      <c r="E60" s="30"/>
      <c r="F60" s="30"/>
      <c r="G60" s="30"/>
      <c r="H60" s="30"/>
    </row>
    <row r="61" spans="3:8" x14ac:dyDescent="0.25">
      <c r="C61" s="30"/>
      <c r="D61" s="30"/>
      <c r="E61" s="30"/>
      <c r="F61" s="30"/>
      <c r="G61" s="30"/>
      <c r="H61" s="30"/>
    </row>
    <row r="62" spans="3:8" x14ac:dyDescent="0.25">
      <c r="C62" s="30"/>
      <c r="D62" s="30"/>
      <c r="E62" s="30"/>
      <c r="F62" s="30"/>
      <c r="G62" s="30"/>
      <c r="H62" s="30"/>
    </row>
    <row r="63" spans="3:8" x14ac:dyDescent="0.25">
      <c r="C63" s="30"/>
      <c r="D63" s="30"/>
      <c r="E63" s="30"/>
      <c r="F63" s="30"/>
      <c r="G63" s="30"/>
      <c r="H63" s="30"/>
    </row>
    <row r="64" spans="3:8" x14ac:dyDescent="0.25">
      <c r="C64" s="30"/>
      <c r="D64" s="30"/>
      <c r="E64" s="30"/>
      <c r="F64" s="30"/>
      <c r="G64" s="30"/>
      <c r="H64" s="30"/>
    </row>
    <row r="65" spans="3:8" x14ac:dyDescent="0.25">
      <c r="C65" s="30"/>
      <c r="D65" s="30"/>
      <c r="E65" s="30"/>
      <c r="F65" s="30"/>
      <c r="G65" s="30"/>
      <c r="H65" s="30"/>
    </row>
    <row r="66" spans="3:8" x14ac:dyDescent="0.25">
      <c r="C66" s="30"/>
      <c r="D66" s="30"/>
      <c r="E66" s="30"/>
      <c r="F66" s="30"/>
      <c r="G66" s="30"/>
      <c r="H66" s="30"/>
    </row>
    <row r="67" spans="3:8" x14ac:dyDescent="0.25">
      <c r="C67" s="30"/>
      <c r="D67" s="30"/>
      <c r="E67" s="30"/>
      <c r="F67" s="30"/>
      <c r="G67" s="30"/>
      <c r="H67" s="30"/>
    </row>
    <row r="68" spans="3:8" x14ac:dyDescent="0.25">
      <c r="C68" s="30"/>
      <c r="D68" s="30"/>
      <c r="E68" s="30"/>
      <c r="F68" s="30"/>
      <c r="G68" s="30"/>
      <c r="H68" s="30"/>
    </row>
    <row r="69" spans="3:8" x14ac:dyDescent="0.25">
      <c r="C69" s="30"/>
      <c r="D69" s="30"/>
      <c r="E69" s="30"/>
      <c r="F69" s="30"/>
      <c r="G69" s="30"/>
      <c r="H69" s="30"/>
    </row>
    <row r="70" spans="3:8" x14ac:dyDescent="0.25">
      <c r="C70" s="30"/>
      <c r="D70" s="30"/>
      <c r="E70" s="30"/>
      <c r="F70" s="30"/>
      <c r="G70" s="30"/>
      <c r="H70" s="30"/>
    </row>
    <row r="71" spans="3:8" x14ac:dyDescent="0.25">
      <c r="C71" s="30"/>
      <c r="D71" s="30"/>
      <c r="E71" s="30"/>
      <c r="F71" s="30"/>
      <c r="G71" s="30"/>
      <c r="H71" s="30"/>
    </row>
    <row r="72" spans="3:8" x14ac:dyDescent="0.25">
      <c r="C72" s="30"/>
      <c r="D72" s="30"/>
      <c r="E72" s="30"/>
      <c r="F72" s="30"/>
      <c r="G72" s="30"/>
      <c r="H72" s="30"/>
    </row>
    <row r="73" spans="3:8" x14ac:dyDescent="0.25">
      <c r="C73" s="30"/>
      <c r="D73" s="30"/>
      <c r="E73" s="30"/>
      <c r="F73" s="30"/>
      <c r="G73" s="30"/>
      <c r="H73" s="30"/>
    </row>
    <row r="74" spans="3:8" x14ac:dyDescent="0.25">
      <c r="C74" s="30"/>
      <c r="D74" s="30"/>
      <c r="E74" s="30"/>
      <c r="F74" s="30"/>
      <c r="G74" s="30"/>
      <c r="H74" s="30"/>
    </row>
    <row r="75" spans="3:8" x14ac:dyDescent="0.25">
      <c r="C75" s="30"/>
      <c r="D75" s="30"/>
      <c r="E75" s="30"/>
      <c r="F75" s="30"/>
      <c r="G75" s="30"/>
      <c r="H75" s="30"/>
    </row>
    <row r="76" spans="3:8" x14ac:dyDescent="0.25">
      <c r="C76" s="30"/>
      <c r="D76" s="30"/>
      <c r="E76" s="30"/>
      <c r="F76" s="30"/>
      <c r="G76" s="30"/>
      <c r="H76" s="30"/>
    </row>
    <row r="77" spans="3:8" x14ac:dyDescent="0.25">
      <c r="C77" s="30"/>
      <c r="D77" s="30"/>
      <c r="E77" s="30"/>
      <c r="F77" s="30"/>
      <c r="G77" s="30"/>
      <c r="H77" s="30"/>
    </row>
    <row r="78" spans="3:8" x14ac:dyDescent="0.25">
      <c r="C78" s="30"/>
      <c r="D78" s="30"/>
      <c r="E78" s="30"/>
      <c r="F78" s="30"/>
      <c r="G78" s="30"/>
      <c r="H78" s="30"/>
    </row>
    <row r="79" spans="3:8" x14ac:dyDescent="0.25">
      <c r="C79" s="30"/>
      <c r="D79" s="30"/>
      <c r="E79" s="30"/>
      <c r="F79" s="30"/>
      <c r="G79" s="30"/>
      <c r="H79" s="30"/>
    </row>
    <row r="80" spans="3:8" x14ac:dyDescent="0.25">
      <c r="C80" s="30"/>
      <c r="D80" s="30"/>
      <c r="E80" s="30"/>
      <c r="F80" s="30"/>
      <c r="G80" s="30"/>
      <c r="H80" s="30"/>
    </row>
    <row r="81" spans="3:8" x14ac:dyDescent="0.25">
      <c r="C81" s="30"/>
      <c r="D81" s="30"/>
      <c r="E81" s="30"/>
      <c r="F81" s="30"/>
      <c r="G81" s="30"/>
      <c r="H81" s="30"/>
    </row>
    <row r="82" spans="3:8" x14ac:dyDescent="0.25">
      <c r="C82" s="30"/>
      <c r="D82" s="30"/>
      <c r="E82" s="30"/>
      <c r="F82" s="30"/>
      <c r="G82" s="30"/>
      <c r="H82" s="30"/>
    </row>
    <row r="83" spans="3:8" x14ac:dyDescent="0.25">
      <c r="C83" s="30"/>
      <c r="D83" s="30"/>
      <c r="E83" s="30"/>
      <c r="F83" s="30"/>
      <c r="G83" s="30"/>
      <c r="H83" s="30"/>
    </row>
  </sheetData>
  <mergeCells count="1">
    <mergeCell ref="B1:H2"/>
  </mergeCells>
  <pageMargins left="0.25" right="0.25" top="0.75" bottom="0.75" header="0.3" footer="0.3"/>
  <pageSetup scale="85" fitToHeight="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1887A-984D-4CDC-9D69-5ADDA926D47C}">
  <sheetPr>
    <pageSetUpPr fitToPage="1"/>
  </sheetPr>
  <dimension ref="A1:U478"/>
  <sheetViews>
    <sheetView showGridLines="0" topLeftCell="A8" zoomScale="80" zoomScaleNormal="80" workbookViewId="0">
      <selection activeCell="D16" sqref="D16"/>
    </sheetView>
  </sheetViews>
  <sheetFormatPr defaultRowHeight="15" x14ac:dyDescent="0.25"/>
  <cols>
    <col min="1" max="1" width="6.140625" customWidth="1"/>
    <col min="2" max="2" width="21" bestFit="1" customWidth="1"/>
    <col min="3" max="4" width="25.5703125" style="1" bestFit="1" customWidth="1"/>
    <col min="5" max="5" width="17.85546875" style="1" bestFit="1" customWidth="1"/>
    <col min="6" max="6" width="19.42578125" style="1" bestFit="1" customWidth="1"/>
    <col min="7" max="7" width="16.7109375" style="1" bestFit="1" customWidth="1"/>
    <col min="8" max="8" width="17.140625" style="1" bestFit="1" customWidth="1"/>
    <col min="9" max="9" width="17.42578125" bestFit="1" customWidth="1"/>
    <col min="10" max="10" width="8.28515625" customWidth="1"/>
    <col min="11" max="11" width="14.140625" customWidth="1"/>
    <col min="12" max="12" width="24" customWidth="1"/>
    <col min="13" max="13" width="22.85546875" customWidth="1"/>
    <col min="14" max="14" width="25" customWidth="1"/>
    <col min="15" max="15" width="23.5703125" customWidth="1"/>
    <col min="16" max="16" width="22.140625" customWidth="1"/>
    <col min="17" max="17" width="31.5703125" bestFit="1" customWidth="1"/>
    <col min="18" max="18" width="30.5703125" bestFit="1" customWidth="1"/>
    <col min="19" max="20" width="34.140625" bestFit="1" customWidth="1"/>
    <col min="21" max="21" width="30.5703125" bestFit="1" customWidth="1"/>
    <col min="22" max="22" width="5.7109375" bestFit="1" customWidth="1"/>
  </cols>
  <sheetData>
    <row r="1" spans="1:21" ht="18.75" customHeight="1" x14ac:dyDescent="0.3">
      <c r="B1" s="78" t="s">
        <v>49</v>
      </c>
      <c r="C1" s="78"/>
      <c r="D1" s="78"/>
      <c r="E1" s="78"/>
      <c r="F1" s="78"/>
      <c r="G1" s="78"/>
      <c r="H1" s="78"/>
      <c r="I1" s="6"/>
      <c r="J1" s="30"/>
      <c r="Q1" s="19"/>
      <c r="R1" s="19"/>
      <c r="S1" s="19"/>
      <c r="T1" s="19"/>
      <c r="U1" s="19"/>
    </row>
    <row r="2" spans="1:21" ht="18.75" customHeight="1" x14ac:dyDescent="0.3">
      <c r="A2" s="5"/>
      <c r="B2" s="78"/>
      <c r="C2" s="78"/>
      <c r="D2" s="78"/>
      <c r="E2" s="78"/>
      <c r="F2" s="78"/>
      <c r="G2" s="78"/>
      <c r="H2" s="78"/>
      <c r="I2" s="6"/>
      <c r="J2" s="30"/>
      <c r="Q2" s="19"/>
      <c r="R2" s="19"/>
      <c r="S2" s="19"/>
      <c r="T2" s="19"/>
      <c r="U2" s="19"/>
    </row>
    <row r="3" spans="1:21" ht="18.75" x14ac:dyDescent="0.3">
      <c r="B3" s="7" t="s">
        <v>3</v>
      </c>
      <c r="C3" s="6" t="s">
        <v>43</v>
      </c>
      <c r="D3" s="6" t="s">
        <v>42</v>
      </c>
      <c r="E3" s="6" t="s">
        <v>9</v>
      </c>
      <c r="F3" s="6" t="s">
        <v>10</v>
      </c>
      <c r="G3" s="6" t="s">
        <v>45</v>
      </c>
      <c r="H3" s="6" t="s">
        <v>11</v>
      </c>
      <c r="I3" s="6" t="s">
        <v>12</v>
      </c>
      <c r="J3" s="30"/>
    </row>
    <row r="4" spans="1:21" ht="18.75" x14ac:dyDescent="0.3">
      <c r="B4" s="9" t="s">
        <v>18</v>
      </c>
      <c r="C4" s="10">
        <v>141</v>
      </c>
      <c r="D4" s="10">
        <v>15</v>
      </c>
      <c r="E4" s="11">
        <v>0.87234042553191493</v>
      </c>
      <c r="F4" s="11">
        <v>0.10638297872340426</v>
      </c>
      <c r="G4" s="11">
        <v>0.97872340425531912</v>
      </c>
      <c r="H4" s="11">
        <v>1.4184397163120567E-2</v>
      </c>
      <c r="I4" s="11">
        <v>7.0921985815602835E-3</v>
      </c>
      <c r="J4" s="30"/>
    </row>
    <row r="5" spans="1:21" ht="18.75" x14ac:dyDescent="0.3">
      <c r="B5" s="9" t="s">
        <v>19</v>
      </c>
      <c r="C5" s="10">
        <v>98</v>
      </c>
      <c r="D5" s="10">
        <v>12</v>
      </c>
      <c r="E5" s="11">
        <v>0.77551020408163263</v>
      </c>
      <c r="F5" s="11">
        <v>0.12244897959183673</v>
      </c>
      <c r="G5" s="11">
        <v>0.89795918367346939</v>
      </c>
      <c r="H5" s="11">
        <v>4.0816326530612242E-2</v>
      </c>
      <c r="I5" s="11">
        <v>6.1224489795918366E-2</v>
      </c>
      <c r="J5" s="30"/>
    </row>
    <row r="6" spans="1:21" ht="18.75" x14ac:dyDescent="0.3">
      <c r="B6" s="9" t="s">
        <v>20</v>
      </c>
      <c r="C6" s="10">
        <v>95</v>
      </c>
      <c r="D6" s="10">
        <v>27</v>
      </c>
      <c r="E6" s="11">
        <v>0.58947368421052626</v>
      </c>
      <c r="F6" s="11">
        <v>0.28421052631578947</v>
      </c>
      <c r="G6" s="11">
        <v>0.87368421052631584</v>
      </c>
      <c r="H6" s="11">
        <v>7.3684210526315783E-2</v>
      </c>
      <c r="I6" s="11">
        <v>5.2631578947368418E-2</v>
      </c>
      <c r="J6" s="30"/>
    </row>
    <row r="7" spans="1:21" ht="18.75" x14ac:dyDescent="0.3">
      <c r="B7" s="9" t="s">
        <v>21</v>
      </c>
      <c r="C7" s="10">
        <v>136</v>
      </c>
      <c r="D7" s="10">
        <v>59</v>
      </c>
      <c r="E7" s="11">
        <v>0.22058823529411764</v>
      </c>
      <c r="F7" s="11">
        <v>0.43382352941176472</v>
      </c>
      <c r="G7" s="11">
        <v>0.65441176470588236</v>
      </c>
      <c r="H7" s="11">
        <v>0.27941176470588236</v>
      </c>
      <c r="I7" s="11">
        <v>6.6176470588235295E-2</v>
      </c>
      <c r="J7" s="30"/>
    </row>
    <row r="8" spans="1:21" ht="18.75" x14ac:dyDescent="0.3">
      <c r="B8" s="9" t="s">
        <v>22</v>
      </c>
      <c r="C8" s="10">
        <v>261</v>
      </c>
      <c r="D8" s="10">
        <v>143</v>
      </c>
      <c r="E8" s="11">
        <v>5.3639846743295021E-2</v>
      </c>
      <c r="F8" s="11">
        <v>0.54789272030651337</v>
      </c>
      <c r="G8" s="11">
        <v>0.6015325670498084</v>
      </c>
      <c r="H8" s="11">
        <v>0.2988505747126437</v>
      </c>
      <c r="I8" s="11">
        <v>9.9616858237547887E-2</v>
      </c>
      <c r="J8" s="30"/>
    </row>
    <row r="9" spans="1:21" ht="18.75" x14ac:dyDescent="0.3">
      <c r="B9" s="9" t="s">
        <v>23</v>
      </c>
      <c r="C9" s="10">
        <v>132</v>
      </c>
      <c r="D9" s="10">
        <v>81</v>
      </c>
      <c r="E9" s="11">
        <v>1.5151515151515152E-2</v>
      </c>
      <c r="F9" s="11">
        <v>0.61363636363636365</v>
      </c>
      <c r="G9" s="11">
        <v>0.62878787878787878</v>
      </c>
      <c r="H9" s="11">
        <v>0.26515151515151514</v>
      </c>
      <c r="I9" s="11">
        <v>0.10606060606060606</v>
      </c>
      <c r="J9" s="30"/>
    </row>
    <row r="10" spans="1:21" ht="18.75" x14ac:dyDescent="0.3">
      <c r="B10" s="9" t="s">
        <v>24</v>
      </c>
      <c r="C10" s="10">
        <v>14</v>
      </c>
      <c r="D10" s="10">
        <v>9</v>
      </c>
      <c r="E10" s="11">
        <v>7.1428571428571425E-2</v>
      </c>
      <c r="F10" s="11">
        <v>0.6428571428571429</v>
      </c>
      <c r="G10" s="11">
        <v>0.7142857142857143</v>
      </c>
      <c r="H10" s="11">
        <v>0.2857142857142857</v>
      </c>
      <c r="I10" s="11">
        <v>0</v>
      </c>
      <c r="J10" s="30"/>
    </row>
    <row r="11" spans="1:21" ht="18.75" x14ac:dyDescent="0.3">
      <c r="B11" s="9" t="s">
        <v>41</v>
      </c>
      <c r="C11" s="10">
        <v>877</v>
      </c>
      <c r="D11" s="10">
        <v>346</v>
      </c>
      <c r="E11" s="11">
        <v>0.34435575826681869</v>
      </c>
      <c r="F11" s="11">
        <v>0.39452679589509693</v>
      </c>
      <c r="G11" s="14">
        <v>0.73888255416191562</v>
      </c>
      <c r="H11" s="14">
        <v>0.19156214367160776</v>
      </c>
      <c r="I11" s="14">
        <v>6.9555302166476624E-2</v>
      </c>
      <c r="J11" s="30"/>
    </row>
    <row r="12" spans="1:21" ht="18.75" x14ac:dyDescent="0.3">
      <c r="B12" s="6"/>
      <c r="C12" s="6"/>
      <c r="D12" s="6"/>
      <c r="E12" s="6"/>
      <c r="F12" s="6"/>
      <c r="G12" s="6"/>
      <c r="H12" s="6"/>
      <c r="I12" s="6"/>
    </row>
    <row r="13" spans="1:21" ht="18.75" x14ac:dyDescent="0.3">
      <c r="B13" s="78" t="s">
        <v>63</v>
      </c>
      <c r="C13" s="78"/>
      <c r="D13" s="78"/>
      <c r="E13" s="78"/>
      <c r="F13" s="78"/>
      <c r="G13" s="78"/>
      <c r="H13" s="6"/>
      <c r="I13" s="6"/>
    </row>
    <row r="14" spans="1:21" ht="18.75" x14ac:dyDescent="0.3">
      <c r="B14" s="78"/>
      <c r="C14" s="78"/>
      <c r="D14" s="78"/>
      <c r="E14" s="78"/>
      <c r="F14" s="78"/>
      <c r="G14" s="78"/>
      <c r="H14" s="6"/>
      <c r="I14" s="6"/>
    </row>
    <row r="15" spans="1:21" ht="18.75" x14ac:dyDescent="0.3">
      <c r="B15" s="17" t="s">
        <v>3</v>
      </c>
      <c r="C15" s="17" t="s">
        <v>52</v>
      </c>
      <c r="D15" s="17" t="s">
        <v>54</v>
      </c>
      <c r="E15" s="18" t="s">
        <v>55</v>
      </c>
      <c r="F15" s="17" t="s">
        <v>53</v>
      </c>
      <c r="G15" s="17" t="s">
        <v>56</v>
      </c>
      <c r="H15" s="6"/>
      <c r="I15" s="6"/>
    </row>
    <row r="16" spans="1:21" ht="18.75" x14ac:dyDescent="0.3">
      <c r="B16" s="10" t="s">
        <v>18</v>
      </c>
      <c r="C16" s="12">
        <v>0.16077537058152799</v>
      </c>
      <c r="D16" s="10">
        <v>138</v>
      </c>
      <c r="E16" s="25">
        <v>0.97872340425531912</v>
      </c>
      <c r="F16" s="13">
        <v>123</v>
      </c>
      <c r="G16" s="25">
        <v>0.87234042553191493</v>
      </c>
      <c r="H16" s="6"/>
      <c r="I16" s="6"/>
    </row>
    <row r="17" spans="2:12" ht="18.75" x14ac:dyDescent="0.3">
      <c r="B17" s="10" t="s">
        <v>19</v>
      </c>
      <c r="C17" s="12">
        <v>0.27251995438996579</v>
      </c>
      <c r="D17" s="10">
        <v>226</v>
      </c>
      <c r="E17" s="25">
        <v>0.94560669456066948</v>
      </c>
      <c r="F17" s="13">
        <v>199</v>
      </c>
      <c r="G17" s="25">
        <v>0.83263598326359833</v>
      </c>
      <c r="H17" s="6"/>
      <c r="I17" s="6"/>
    </row>
    <row r="18" spans="2:12" ht="18.75" x14ac:dyDescent="0.3">
      <c r="B18" s="10" t="s">
        <v>20</v>
      </c>
      <c r="C18" s="12">
        <v>0.38084378563283922</v>
      </c>
      <c r="D18" s="10">
        <v>309</v>
      </c>
      <c r="E18" s="25">
        <v>0.92514970059880242</v>
      </c>
      <c r="F18" s="13">
        <v>255</v>
      </c>
      <c r="G18" s="25">
        <v>0.76347305389221554</v>
      </c>
      <c r="H18" s="6"/>
      <c r="I18" s="6"/>
    </row>
    <row r="19" spans="2:12" ht="18.75" x14ac:dyDescent="0.3">
      <c r="B19" s="10" t="s">
        <v>21</v>
      </c>
      <c r="C19" s="12">
        <v>0.53591790193842648</v>
      </c>
      <c r="D19" s="10">
        <v>398</v>
      </c>
      <c r="E19" s="25">
        <v>0.84680851063829787</v>
      </c>
      <c r="F19" s="13">
        <v>285</v>
      </c>
      <c r="G19" s="25">
        <v>0.6063829787234043</v>
      </c>
      <c r="H19" s="6"/>
      <c r="I19" s="6"/>
    </row>
    <row r="20" spans="2:12" ht="18.75" x14ac:dyDescent="0.3">
      <c r="B20" s="10" t="s">
        <v>22</v>
      </c>
      <c r="C20" s="12">
        <v>0.83352337514253139</v>
      </c>
      <c r="D20" s="10">
        <v>555</v>
      </c>
      <c r="E20" s="25">
        <v>0.75923392612859097</v>
      </c>
      <c r="F20" s="13">
        <v>299</v>
      </c>
      <c r="G20" s="25">
        <v>0.40902872777017785</v>
      </c>
      <c r="H20" s="6"/>
      <c r="I20" s="6"/>
    </row>
    <row r="21" spans="2:12" ht="18.75" x14ac:dyDescent="0.3">
      <c r="B21" s="10" t="s">
        <v>23</v>
      </c>
      <c r="C21" s="12">
        <v>0.98403648802736599</v>
      </c>
      <c r="D21" s="10">
        <v>638</v>
      </c>
      <c r="E21" s="25">
        <v>0.73928157589803012</v>
      </c>
      <c r="F21" s="13">
        <v>301</v>
      </c>
      <c r="G21" s="25">
        <v>0.34878331402085749</v>
      </c>
      <c r="H21" s="6"/>
      <c r="I21" s="6"/>
    </row>
    <row r="22" spans="2:12" ht="18.75" x14ac:dyDescent="0.3">
      <c r="B22" s="10" t="s">
        <v>24</v>
      </c>
      <c r="C22" s="12">
        <v>1</v>
      </c>
      <c r="D22" s="10">
        <v>648</v>
      </c>
      <c r="E22" s="25">
        <v>0.73888255416191562</v>
      </c>
      <c r="F22" s="13">
        <v>302</v>
      </c>
      <c r="G22" s="25">
        <v>0.34435575826681869</v>
      </c>
      <c r="H22" s="6"/>
      <c r="I22" s="6"/>
    </row>
    <row r="23" spans="2:12" ht="18.75" x14ac:dyDescent="0.3">
      <c r="B23" s="8"/>
      <c r="C23" s="8"/>
      <c r="D23" s="8"/>
      <c r="E23" s="8"/>
      <c r="F23" s="8"/>
      <c r="G23" s="8"/>
      <c r="H23" s="6"/>
      <c r="I23" s="6"/>
    </row>
    <row r="24" spans="2:12" ht="18.75" x14ac:dyDescent="0.3">
      <c r="B24" s="6"/>
      <c r="C24" s="6"/>
      <c r="D24" s="6"/>
      <c r="E24" s="6"/>
      <c r="F24" s="6"/>
      <c r="G24" s="6"/>
      <c r="H24" s="6"/>
      <c r="I24" s="6"/>
    </row>
    <row r="25" spans="2:12" ht="18.75" x14ac:dyDescent="0.3">
      <c r="B25" s="23" t="s">
        <v>57</v>
      </c>
      <c r="C25" s="26"/>
      <c r="D25" s="26"/>
      <c r="E25" s="26"/>
      <c r="F25" s="26"/>
      <c r="G25" s="26"/>
      <c r="H25" s="26"/>
      <c r="I25" s="6"/>
      <c r="J25" s="6"/>
      <c r="K25" s="6"/>
      <c r="L25" s="6"/>
    </row>
    <row r="26" spans="2:12" ht="18" customHeight="1" x14ac:dyDescent="0.3">
      <c r="B26" s="23"/>
      <c r="C26" s="26"/>
      <c r="D26" s="26"/>
      <c r="E26" s="26"/>
      <c r="F26" s="26"/>
      <c r="G26" s="26"/>
      <c r="H26" s="26"/>
      <c r="I26" s="6"/>
      <c r="J26" s="6"/>
      <c r="K26" s="6"/>
      <c r="L26" s="6"/>
    </row>
    <row r="27" spans="2:12" ht="33.75" customHeight="1" x14ac:dyDescent="0.3">
      <c r="B27" s="6" t="s">
        <v>75</v>
      </c>
      <c r="C27" s="26"/>
      <c r="D27" s="26"/>
      <c r="E27" s="26"/>
      <c r="F27" s="26"/>
      <c r="G27" s="26"/>
      <c r="H27" s="26"/>
      <c r="I27" s="6"/>
      <c r="J27" s="6"/>
      <c r="K27" s="6"/>
      <c r="L27" s="6"/>
    </row>
    <row r="28" spans="2:12" ht="24" customHeight="1" x14ac:dyDescent="0.3">
      <c r="B28" s="6" t="s">
        <v>76</v>
      </c>
      <c r="C28" s="26"/>
      <c r="D28" s="26"/>
      <c r="E28" s="26"/>
      <c r="F28" s="26"/>
      <c r="G28" s="26"/>
      <c r="H28" s="26"/>
      <c r="I28" s="6"/>
      <c r="J28" s="6"/>
      <c r="K28" s="6"/>
      <c r="L28" s="6"/>
    </row>
    <row r="29" spans="2:12" ht="18.75" x14ac:dyDescent="0.3">
      <c r="B29" s="27"/>
      <c r="C29" s="26"/>
      <c r="D29" s="26"/>
      <c r="E29" s="26"/>
      <c r="F29" s="26"/>
      <c r="G29" s="26"/>
      <c r="H29" s="26"/>
      <c r="I29" s="6"/>
      <c r="J29" s="6"/>
      <c r="K29" s="6"/>
      <c r="L29" s="6"/>
    </row>
    <row r="30" spans="2:12" ht="18.75" x14ac:dyDescent="0.3">
      <c r="B30" s="6" t="s">
        <v>58</v>
      </c>
      <c r="C30" s="26"/>
      <c r="D30" s="26"/>
      <c r="E30" s="26"/>
      <c r="F30" s="26"/>
      <c r="G30" s="26"/>
      <c r="H30" s="26"/>
      <c r="I30" s="6"/>
      <c r="J30" s="6"/>
      <c r="K30" s="6"/>
      <c r="L30" s="6"/>
    </row>
    <row r="31" spans="2:12" ht="18.75" x14ac:dyDescent="0.3">
      <c r="B31" s="6"/>
      <c r="C31" s="26"/>
      <c r="D31" s="26"/>
      <c r="E31" s="26"/>
      <c r="F31" s="26"/>
      <c r="G31" s="26"/>
      <c r="H31" s="26"/>
      <c r="I31" s="6"/>
      <c r="J31" s="6"/>
      <c r="K31" s="6"/>
      <c r="L31" s="6"/>
    </row>
    <row r="32" spans="2:12" ht="18.75" x14ac:dyDescent="0.3">
      <c r="B32" s="6" t="s">
        <v>59</v>
      </c>
      <c r="C32" s="26"/>
      <c r="D32" s="26"/>
      <c r="E32" s="26"/>
      <c r="F32" s="26"/>
      <c r="G32" s="26"/>
      <c r="H32" s="26"/>
      <c r="I32" s="6"/>
      <c r="J32" s="6"/>
      <c r="K32" s="6"/>
      <c r="L32" s="6"/>
    </row>
    <row r="33" spans="2:12" ht="18.75" x14ac:dyDescent="0.3">
      <c r="B33" s="6"/>
      <c r="C33" s="26"/>
      <c r="D33" s="26"/>
      <c r="E33" s="26"/>
      <c r="F33" s="26"/>
      <c r="G33" s="26"/>
      <c r="H33" s="26"/>
      <c r="I33" s="6"/>
      <c r="J33" s="6"/>
      <c r="K33" s="6"/>
      <c r="L33" s="6"/>
    </row>
    <row r="34" spans="2:12" ht="18.75" x14ac:dyDescent="0.3">
      <c r="B34" s="6" t="s">
        <v>60</v>
      </c>
      <c r="C34" s="26"/>
      <c r="D34" s="26"/>
      <c r="E34" s="26"/>
      <c r="F34" s="26"/>
      <c r="G34" s="26"/>
      <c r="H34" s="26"/>
      <c r="I34" s="6"/>
      <c r="J34" s="6"/>
      <c r="K34" s="6"/>
      <c r="L34" s="6"/>
    </row>
    <row r="35" spans="2:12" ht="18.75" x14ac:dyDescent="0.3">
      <c r="B35" s="6"/>
      <c r="C35" s="26"/>
      <c r="D35" s="26"/>
      <c r="E35" s="26"/>
      <c r="F35" s="26"/>
      <c r="G35" s="26"/>
      <c r="H35" s="26"/>
      <c r="I35" s="6"/>
      <c r="J35" s="6"/>
      <c r="K35" s="6"/>
      <c r="L35" s="6"/>
    </row>
    <row r="36" spans="2:12" ht="18.75" x14ac:dyDescent="0.3">
      <c r="B36" s="6" t="s">
        <v>61</v>
      </c>
      <c r="C36" s="26"/>
      <c r="D36" s="26"/>
      <c r="E36" s="26"/>
      <c r="F36" s="26"/>
      <c r="G36" s="26"/>
      <c r="H36" s="26"/>
      <c r="I36" s="6"/>
      <c r="J36" s="6"/>
      <c r="K36" s="6"/>
      <c r="L36" s="6"/>
    </row>
    <row r="37" spans="2:12" ht="18.75" x14ac:dyDescent="0.3">
      <c r="B37" s="6"/>
      <c r="C37" s="26"/>
      <c r="D37" s="6"/>
      <c r="E37" s="6"/>
      <c r="F37" s="6"/>
      <c r="G37" s="6"/>
      <c r="H37" s="6"/>
      <c r="I37" s="6"/>
      <c r="J37" s="6"/>
      <c r="K37" s="6"/>
      <c r="L37" s="6"/>
    </row>
    <row r="38" spans="2:12" ht="18.75" x14ac:dyDescent="0.3">
      <c r="B38" s="6" t="s">
        <v>62</v>
      </c>
      <c r="C38" s="26"/>
      <c r="D38" s="6"/>
      <c r="E38" s="6"/>
      <c r="F38" s="6"/>
      <c r="G38" s="6"/>
      <c r="H38" s="6"/>
      <c r="I38" s="6"/>
      <c r="J38" s="6"/>
      <c r="K38" s="6"/>
      <c r="L38" s="6"/>
    </row>
    <row r="39" spans="2:12" ht="24" x14ac:dyDescent="0.4">
      <c r="B39" s="16"/>
      <c r="C39" s="15"/>
      <c r="D39" s="16"/>
      <c r="E39" s="16"/>
      <c r="F39" s="16"/>
      <c r="G39"/>
      <c r="H39"/>
    </row>
    <row r="40" spans="2:12" ht="15" customHeight="1" x14ac:dyDescent="0.4">
      <c r="C40" s="15"/>
      <c r="D40" s="16"/>
      <c r="E40" s="16"/>
      <c r="F40" s="16"/>
      <c r="G40"/>
      <c r="H40"/>
    </row>
    <row r="41" spans="2:12" ht="15" customHeight="1" x14ac:dyDescent="0.4">
      <c r="B41" s="21"/>
      <c r="C41" s="15"/>
      <c r="D41" s="16"/>
      <c r="E41" s="16"/>
      <c r="F41" s="16"/>
      <c r="G41"/>
      <c r="H41"/>
    </row>
    <row r="42" spans="2:12" ht="26.25" x14ac:dyDescent="0.4">
      <c r="B42" s="22"/>
      <c r="C42" s="15"/>
      <c r="D42" s="16"/>
      <c r="E42" s="16"/>
      <c r="F42" s="16"/>
      <c r="G42"/>
      <c r="H42"/>
    </row>
    <row r="43" spans="2:12" ht="25.5" x14ac:dyDescent="0.25">
      <c r="B43" s="20"/>
      <c r="C43"/>
      <c r="D43"/>
      <c r="E43"/>
      <c r="F43"/>
      <c r="G43"/>
      <c r="H43"/>
    </row>
    <row r="44" spans="2:12" ht="26.25" x14ac:dyDescent="0.25">
      <c r="B44" s="21"/>
      <c r="C44"/>
      <c r="D44"/>
      <c r="E44"/>
      <c r="F44"/>
      <c r="G44"/>
      <c r="H44"/>
    </row>
    <row r="45" spans="2:12" ht="26.25" x14ac:dyDescent="0.25">
      <c r="B45" s="21"/>
      <c r="C45"/>
      <c r="D45"/>
      <c r="E45"/>
      <c r="F45"/>
      <c r="G45"/>
      <c r="H45"/>
    </row>
    <row r="46" spans="2:12" ht="26.25" x14ac:dyDescent="0.25">
      <c r="B46" s="21"/>
      <c r="C46"/>
      <c r="D46"/>
      <c r="E46"/>
      <c r="F46"/>
      <c r="G46"/>
      <c r="H46"/>
    </row>
    <row r="47" spans="2:12" ht="26.25" x14ac:dyDescent="0.25">
      <c r="B47" s="21"/>
      <c r="C47"/>
      <c r="D47"/>
      <c r="E47"/>
      <c r="F47"/>
      <c r="G47"/>
      <c r="H47"/>
    </row>
    <row r="48" spans="2:12" ht="26.25" x14ac:dyDescent="0.25">
      <c r="B48" s="21"/>
      <c r="C48"/>
      <c r="D48"/>
      <c r="E48"/>
      <c r="F48"/>
      <c r="G48"/>
      <c r="H48"/>
    </row>
    <row r="49" spans="2:8" ht="26.25" x14ac:dyDescent="0.25">
      <c r="B49" s="21"/>
      <c r="C49"/>
      <c r="D49"/>
      <c r="E49"/>
      <c r="F49"/>
      <c r="G49"/>
      <c r="H49"/>
    </row>
    <row r="50" spans="2:8" ht="26.25" x14ac:dyDescent="0.25">
      <c r="B50" s="21"/>
      <c r="C50"/>
      <c r="D50"/>
      <c r="E50"/>
      <c r="F50"/>
      <c r="G50"/>
      <c r="H50"/>
    </row>
    <row r="51" spans="2:8" ht="26.25" x14ac:dyDescent="0.25">
      <c r="B51" s="21"/>
      <c r="C51"/>
      <c r="D51"/>
      <c r="E51"/>
      <c r="F51"/>
      <c r="G51"/>
      <c r="H51"/>
    </row>
    <row r="52" spans="2:8" ht="26.25" x14ac:dyDescent="0.25">
      <c r="B52" s="21"/>
      <c r="C52"/>
      <c r="D52"/>
      <c r="E52"/>
      <c r="F52"/>
      <c r="G52"/>
      <c r="H52"/>
    </row>
    <row r="53" spans="2:8" ht="26.25" x14ac:dyDescent="0.25">
      <c r="B53" s="21"/>
      <c r="C53"/>
      <c r="D53"/>
      <c r="E53"/>
      <c r="F53"/>
      <c r="G53"/>
      <c r="H53"/>
    </row>
    <row r="54" spans="2:8" x14ac:dyDescent="0.25">
      <c r="C54"/>
      <c r="D54"/>
      <c r="E54"/>
      <c r="F54"/>
      <c r="G54"/>
      <c r="H54"/>
    </row>
    <row r="55" spans="2:8" x14ac:dyDescent="0.25">
      <c r="C55"/>
      <c r="D55"/>
      <c r="E55"/>
      <c r="F55"/>
      <c r="G55"/>
      <c r="H55"/>
    </row>
    <row r="56" spans="2:8" x14ac:dyDescent="0.25">
      <c r="C56"/>
      <c r="D56"/>
      <c r="E56"/>
      <c r="F56"/>
      <c r="G56"/>
      <c r="H56"/>
    </row>
    <row r="57" spans="2:8" x14ac:dyDescent="0.25">
      <c r="C57"/>
      <c r="D57"/>
      <c r="E57"/>
      <c r="F57"/>
      <c r="G57"/>
      <c r="H57"/>
    </row>
    <row r="58" spans="2:8" x14ac:dyDescent="0.25">
      <c r="C58"/>
      <c r="D58"/>
      <c r="E58"/>
      <c r="F58"/>
      <c r="G58"/>
      <c r="H58"/>
    </row>
    <row r="59" spans="2:8" x14ac:dyDescent="0.25">
      <c r="C59"/>
      <c r="D59"/>
      <c r="E59"/>
      <c r="F59"/>
      <c r="G59"/>
      <c r="H59"/>
    </row>
    <row r="60" spans="2:8" x14ac:dyDescent="0.25">
      <c r="C60"/>
      <c r="D60"/>
      <c r="E60"/>
      <c r="F60"/>
      <c r="G60"/>
      <c r="H60"/>
    </row>
    <row r="61" spans="2:8" x14ac:dyDescent="0.25">
      <c r="C61"/>
      <c r="D61"/>
      <c r="E61"/>
      <c r="F61"/>
      <c r="G61"/>
      <c r="H61"/>
    </row>
    <row r="62" spans="2:8" x14ac:dyDescent="0.25">
      <c r="C62"/>
      <c r="D62"/>
      <c r="E62"/>
      <c r="F62"/>
      <c r="G62"/>
      <c r="H62"/>
    </row>
    <row r="63" spans="2:8" x14ac:dyDescent="0.25">
      <c r="C63"/>
      <c r="D63"/>
      <c r="E63"/>
      <c r="F63"/>
      <c r="G63"/>
      <c r="H63"/>
    </row>
    <row r="64" spans="2:8" x14ac:dyDescent="0.25">
      <c r="C64"/>
      <c r="D64"/>
      <c r="E64"/>
      <c r="F64"/>
      <c r="G64"/>
      <c r="H64"/>
    </row>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sheetData>
  <mergeCells count="2">
    <mergeCell ref="B1:H2"/>
    <mergeCell ref="B13:G14"/>
  </mergeCells>
  <pageMargins left="0.25" right="0.25" top="0.75" bottom="0.75" header="0.3" footer="0.3"/>
  <pageSetup scale="51"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AD2B4-9E18-4094-892D-FE630A0024CA}">
  <dimension ref="A1:J337"/>
  <sheetViews>
    <sheetView zoomScale="80" zoomScaleNormal="80" workbookViewId="0">
      <selection activeCell="J2" sqref="J2"/>
    </sheetView>
  </sheetViews>
  <sheetFormatPr defaultRowHeight="17.25" customHeight="1" x14ac:dyDescent="0.25"/>
  <cols>
    <col min="1" max="10" width="28.5703125" style="1" customWidth="1"/>
  </cols>
  <sheetData>
    <row r="1" spans="1:10" ht="17.25" customHeight="1" x14ac:dyDescent="0.25">
      <c r="A1" s="3" t="s">
        <v>0</v>
      </c>
      <c r="B1" s="3" t="s">
        <v>1</v>
      </c>
      <c r="C1" s="3" t="s">
        <v>2</v>
      </c>
      <c r="D1" s="3" t="s">
        <v>3</v>
      </c>
      <c r="E1" s="3" t="s">
        <v>4</v>
      </c>
      <c r="F1" s="3" t="s">
        <v>5</v>
      </c>
      <c r="G1" s="3" t="s">
        <v>6</v>
      </c>
      <c r="H1" s="3" t="s">
        <v>7</v>
      </c>
      <c r="I1" s="3" t="s">
        <v>8</v>
      </c>
      <c r="J1" s="2" t="s">
        <v>44</v>
      </c>
    </row>
    <row r="2" spans="1:10" ht="17.25" customHeight="1" x14ac:dyDescent="0.25">
      <c r="A2" s="4" t="s">
        <v>13</v>
      </c>
      <c r="B2" s="1" t="s">
        <v>17</v>
      </c>
      <c r="C2" s="1" t="s">
        <v>14</v>
      </c>
      <c r="D2" s="1" t="s">
        <v>18</v>
      </c>
      <c r="E2" s="1">
        <v>6</v>
      </c>
      <c r="F2" s="1">
        <v>1</v>
      </c>
      <c r="G2" s="1">
        <v>0</v>
      </c>
      <c r="H2" s="1">
        <v>0</v>
      </c>
      <c r="I2" s="1">
        <v>7</v>
      </c>
      <c r="J2" s="1">
        <f>Raw_Data[[#This Row],[Quick Match]]+Raw_Data[[#This Row],[Manual Match]]</f>
        <v>7</v>
      </c>
    </row>
    <row r="3" spans="1:10" ht="17.25" customHeight="1" x14ac:dyDescent="0.25">
      <c r="A3" s="4" t="s">
        <v>13</v>
      </c>
      <c r="B3" s="1" t="s">
        <v>17</v>
      </c>
      <c r="C3" s="1" t="s">
        <v>14</v>
      </c>
      <c r="D3" s="1" t="s">
        <v>19</v>
      </c>
      <c r="E3" s="1">
        <v>4</v>
      </c>
      <c r="F3" s="1">
        <v>1</v>
      </c>
      <c r="G3" s="1">
        <v>0</v>
      </c>
      <c r="H3" s="1">
        <v>1</v>
      </c>
      <c r="I3" s="1">
        <v>6</v>
      </c>
      <c r="J3" s="1">
        <f>Raw_Data[[#This Row],[Quick Match]]+Raw_Data[[#This Row],[Manual Match]]</f>
        <v>5</v>
      </c>
    </row>
    <row r="4" spans="1:10" ht="17.25" customHeight="1" x14ac:dyDescent="0.25">
      <c r="A4" s="4" t="s">
        <v>13</v>
      </c>
      <c r="B4" s="1" t="s">
        <v>17</v>
      </c>
      <c r="C4" s="1" t="s">
        <v>14</v>
      </c>
      <c r="D4" s="1" t="s">
        <v>20</v>
      </c>
      <c r="E4" s="1">
        <v>3</v>
      </c>
      <c r="F4" s="1">
        <v>0</v>
      </c>
      <c r="G4" s="1">
        <v>0</v>
      </c>
      <c r="H4" s="1">
        <v>0</v>
      </c>
      <c r="I4" s="1">
        <v>3</v>
      </c>
      <c r="J4" s="1">
        <f>Raw_Data[[#This Row],[Quick Match]]+Raw_Data[[#This Row],[Manual Match]]</f>
        <v>3</v>
      </c>
    </row>
    <row r="5" spans="1:10" ht="17.25" customHeight="1" x14ac:dyDescent="0.25">
      <c r="A5" s="4" t="s">
        <v>13</v>
      </c>
      <c r="B5" s="1" t="s">
        <v>17</v>
      </c>
      <c r="C5" s="1" t="s">
        <v>14</v>
      </c>
      <c r="D5" s="1" t="s">
        <v>21</v>
      </c>
      <c r="E5" s="1">
        <v>2</v>
      </c>
      <c r="F5" s="1">
        <v>2</v>
      </c>
      <c r="G5" s="1">
        <v>1</v>
      </c>
      <c r="H5" s="1">
        <v>1</v>
      </c>
      <c r="I5" s="1">
        <v>6</v>
      </c>
      <c r="J5" s="1">
        <f>Raw_Data[[#This Row],[Quick Match]]+Raw_Data[[#This Row],[Manual Match]]</f>
        <v>4</v>
      </c>
    </row>
    <row r="6" spans="1:10" ht="17.25" customHeight="1" x14ac:dyDescent="0.25">
      <c r="A6" s="4" t="s">
        <v>13</v>
      </c>
      <c r="B6" s="1" t="s">
        <v>17</v>
      </c>
      <c r="C6" s="1" t="s">
        <v>14</v>
      </c>
      <c r="D6" s="1" t="s">
        <v>22</v>
      </c>
      <c r="E6" s="1">
        <v>0</v>
      </c>
      <c r="F6" s="1">
        <v>9</v>
      </c>
      <c r="G6" s="1">
        <v>2</v>
      </c>
      <c r="H6" s="1">
        <v>1</v>
      </c>
      <c r="I6" s="1">
        <v>12</v>
      </c>
      <c r="J6" s="1">
        <f>Raw_Data[[#This Row],[Quick Match]]+Raw_Data[[#This Row],[Manual Match]]</f>
        <v>9</v>
      </c>
    </row>
    <row r="7" spans="1:10" ht="17.25" customHeight="1" x14ac:dyDescent="0.25">
      <c r="A7" s="4" t="s">
        <v>13</v>
      </c>
      <c r="B7" s="1" t="s">
        <v>17</v>
      </c>
      <c r="C7" s="1" t="s">
        <v>14</v>
      </c>
      <c r="D7" s="1" t="s">
        <v>23</v>
      </c>
      <c r="E7" s="1">
        <v>0</v>
      </c>
      <c r="F7" s="1">
        <v>1</v>
      </c>
      <c r="G7" s="1">
        <v>1</v>
      </c>
      <c r="H7" s="1">
        <v>0</v>
      </c>
      <c r="I7" s="1">
        <v>2</v>
      </c>
      <c r="J7" s="1">
        <f>Raw_Data[[#This Row],[Quick Match]]+Raw_Data[[#This Row],[Manual Match]]</f>
        <v>1</v>
      </c>
    </row>
    <row r="8" spans="1:10" ht="17.25" customHeight="1" x14ac:dyDescent="0.25">
      <c r="A8" s="4" t="s">
        <v>13</v>
      </c>
      <c r="B8" s="1" t="s">
        <v>17</v>
      </c>
      <c r="C8" s="1" t="s">
        <v>14</v>
      </c>
      <c r="D8" s="1" t="s">
        <v>24</v>
      </c>
      <c r="E8" s="1">
        <v>0</v>
      </c>
      <c r="F8" s="1">
        <v>0</v>
      </c>
      <c r="G8" s="1">
        <v>0</v>
      </c>
      <c r="H8" s="1">
        <v>0</v>
      </c>
      <c r="I8" s="1">
        <v>0</v>
      </c>
      <c r="J8" s="1">
        <f>Raw_Data[[#This Row],[Quick Match]]+Raw_Data[[#This Row],[Manual Match]]</f>
        <v>0</v>
      </c>
    </row>
    <row r="9" spans="1:10" ht="17.25" customHeight="1" x14ac:dyDescent="0.25">
      <c r="A9" s="4" t="s">
        <v>13</v>
      </c>
      <c r="B9" s="1" t="s">
        <v>17</v>
      </c>
      <c r="C9" s="1" t="s">
        <v>25</v>
      </c>
      <c r="D9" s="1" t="s">
        <v>18</v>
      </c>
      <c r="E9" s="1">
        <v>9</v>
      </c>
      <c r="F9" s="1">
        <v>0</v>
      </c>
      <c r="G9" s="1">
        <v>0</v>
      </c>
      <c r="H9" s="1">
        <v>0</v>
      </c>
      <c r="I9" s="1">
        <v>9</v>
      </c>
      <c r="J9" s="1">
        <f>Raw_Data[[#This Row],[Quick Match]]+Raw_Data[[#This Row],[Manual Match]]</f>
        <v>9</v>
      </c>
    </row>
    <row r="10" spans="1:10" ht="17.25" customHeight="1" x14ac:dyDescent="0.25">
      <c r="A10" s="4" t="s">
        <v>13</v>
      </c>
      <c r="B10" s="1" t="s">
        <v>17</v>
      </c>
      <c r="C10" s="1" t="s">
        <v>25</v>
      </c>
      <c r="D10" s="1" t="s">
        <v>19</v>
      </c>
      <c r="E10" s="1">
        <v>7</v>
      </c>
      <c r="F10" s="1">
        <v>0</v>
      </c>
      <c r="G10" s="1">
        <v>0</v>
      </c>
      <c r="H10" s="1">
        <v>2</v>
      </c>
      <c r="I10" s="1">
        <v>9</v>
      </c>
      <c r="J10" s="1">
        <f>Raw_Data[[#This Row],[Quick Match]]+Raw_Data[[#This Row],[Manual Match]]</f>
        <v>7</v>
      </c>
    </row>
    <row r="11" spans="1:10" ht="17.25" customHeight="1" x14ac:dyDescent="0.25">
      <c r="A11" s="4" t="s">
        <v>13</v>
      </c>
      <c r="B11" s="1" t="s">
        <v>17</v>
      </c>
      <c r="C11" s="1" t="s">
        <v>25</v>
      </c>
      <c r="D11" s="1" t="s">
        <v>20</v>
      </c>
      <c r="E11" s="1">
        <v>6</v>
      </c>
      <c r="F11" s="1">
        <v>2</v>
      </c>
      <c r="G11" s="1">
        <v>1</v>
      </c>
      <c r="H11" s="1">
        <v>0</v>
      </c>
      <c r="I11" s="1">
        <v>9</v>
      </c>
      <c r="J11" s="1">
        <f>Raw_Data[[#This Row],[Quick Match]]+Raw_Data[[#This Row],[Manual Match]]</f>
        <v>8</v>
      </c>
    </row>
    <row r="12" spans="1:10" ht="17.25" customHeight="1" x14ac:dyDescent="0.25">
      <c r="A12" s="4" t="s">
        <v>13</v>
      </c>
      <c r="B12" s="1" t="s">
        <v>17</v>
      </c>
      <c r="C12" s="1" t="s">
        <v>25</v>
      </c>
      <c r="D12" s="1" t="s">
        <v>21</v>
      </c>
      <c r="E12" s="1">
        <v>2</v>
      </c>
      <c r="F12" s="1">
        <v>7</v>
      </c>
      <c r="G12" s="1">
        <v>4</v>
      </c>
      <c r="H12" s="1">
        <v>1</v>
      </c>
      <c r="I12" s="1">
        <v>14</v>
      </c>
      <c r="J12" s="1">
        <f>Raw_Data[[#This Row],[Quick Match]]+Raw_Data[[#This Row],[Manual Match]]</f>
        <v>9</v>
      </c>
    </row>
    <row r="13" spans="1:10" ht="17.25" customHeight="1" x14ac:dyDescent="0.25">
      <c r="A13" s="4" t="s">
        <v>13</v>
      </c>
      <c r="B13" s="1" t="s">
        <v>17</v>
      </c>
      <c r="C13" s="1" t="s">
        <v>25</v>
      </c>
      <c r="D13" s="1" t="s">
        <v>22</v>
      </c>
      <c r="E13" s="1">
        <v>0</v>
      </c>
      <c r="F13" s="1">
        <v>7</v>
      </c>
      <c r="G13" s="1">
        <v>8</v>
      </c>
      <c r="H13" s="1">
        <v>2</v>
      </c>
      <c r="I13" s="1">
        <v>17</v>
      </c>
      <c r="J13" s="1">
        <f>Raw_Data[[#This Row],[Quick Match]]+Raw_Data[[#This Row],[Manual Match]]</f>
        <v>7</v>
      </c>
    </row>
    <row r="14" spans="1:10" ht="17.25" customHeight="1" x14ac:dyDescent="0.25">
      <c r="A14" s="4" t="s">
        <v>13</v>
      </c>
      <c r="B14" s="1" t="s">
        <v>17</v>
      </c>
      <c r="C14" s="1" t="s">
        <v>25</v>
      </c>
      <c r="D14" s="1" t="s">
        <v>23</v>
      </c>
      <c r="E14" s="1">
        <v>0</v>
      </c>
      <c r="F14" s="1">
        <v>4</v>
      </c>
      <c r="G14" s="1">
        <v>2</v>
      </c>
      <c r="H14" s="1">
        <v>0</v>
      </c>
      <c r="I14" s="1">
        <v>6</v>
      </c>
      <c r="J14" s="1">
        <f>Raw_Data[[#This Row],[Quick Match]]+Raw_Data[[#This Row],[Manual Match]]</f>
        <v>4</v>
      </c>
    </row>
    <row r="15" spans="1:10" ht="17.25" customHeight="1" x14ac:dyDescent="0.25">
      <c r="A15" s="4" t="s">
        <v>13</v>
      </c>
      <c r="B15" s="1" t="s">
        <v>17</v>
      </c>
      <c r="C15" s="1" t="s">
        <v>25</v>
      </c>
      <c r="D15" s="1" t="s">
        <v>24</v>
      </c>
      <c r="E15" s="1">
        <v>0</v>
      </c>
      <c r="F15" s="1">
        <v>0</v>
      </c>
      <c r="G15" s="1">
        <v>0</v>
      </c>
      <c r="H15" s="1">
        <v>0</v>
      </c>
      <c r="I15" s="1">
        <v>0</v>
      </c>
      <c r="J15" s="1">
        <f>Raw_Data[[#This Row],[Quick Match]]+Raw_Data[[#This Row],[Manual Match]]</f>
        <v>0</v>
      </c>
    </row>
    <row r="16" spans="1:10" ht="17.25" customHeight="1" x14ac:dyDescent="0.25">
      <c r="A16" s="4" t="s">
        <v>13</v>
      </c>
      <c r="B16" s="1" t="s">
        <v>17</v>
      </c>
      <c r="C16" s="1" t="s">
        <v>15</v>
      </c>
      <c r="D16" s="1" t="s">
        <v>18</v>
      </c>
      <c r="E16" s="1">
        <v>6</v>
      </c>
      <c r="F16" s="1">
        <v>1</v>
      </c>
      <c r="G16" s="1">
        <v>0</v>
      </c>
      <c r="H16" s="1">
        <v>0</v>
      </c>
      <c r="I16" s="1">
        <v>7</v>
      </c>
      <c r="J16" s="1">
        <f>Raw_Data[[#This Row],[Quick Match]]+Raw_Data[[#This Row],[Manual Match]]</f>
        <v>7</v>
      </c>
    </row>
    <row r="17" spans="1:10" ht="17.25" customHeight="1" x14ac:dyDescent="0.25">
      <c r="A17" s="4" t="s">
        <v>13</v>
      </c>
      <c r="B17" s="1" t="s">
        <v>17</v>
      </c>
      <c r="C17" s="1" t="s">
        <v>15</v>
      </c>
      <c r="D17" s="1" t="s">
        <v>19</v>
      </c>
      <c r="E17" s="1">
        <v>3</v>
      </c>
      <c r="F17" s="1">
        <v>2</v>
      </c>
      <c r="G17" s="1">
        <v>0</v>
      </c>
      <c r="H17" s="1">
        <v>1</v>
      </c>
      <c r="I17" s="1">
        <v>6</v>
      </c>
      <c r="J17" s="1">
        <f>Raw_Data[[#This Row],[Quick Match]]+Raw_Data[[#This Row],[Manual Match]]</f>
        <v>5</v>
      </c>
    </row>
    <row r="18" spans="1:10" ht="17.25" customHeight="1" x14ac:dyDescent="0.25">
      <c r="A18" s="4" t="s">
        <v>13</v>
      </c>
      <c r="B18" s="1" t="s">
        <v>17</v>
      </c>
      <c r="C18" s="1" t="s">
        <v>15</v>
      </c>
      <c r="D18" s="1" t="s">
        <v>20</v>
      </c>
      <c r="E18" s="1">
        <v>0</v>
      </c>
      <c r="F18" s="1">
        <v>2</v>
      </c>
      <c r="G18" s="1">
        <v>1</v>
      </c>
      <c r="H18" s="1">
        <v>0</v>
      </c>
      <c r="I18" s="1">
        <v>3</v>
      </c>
      <c r="J18" s="1">
        <f>Raw_Data[[#This Row],[Quick Match]]+Raw_Data[[#This Row],[Manual Match]]</f>
        <v>2</v>
      </c>
    </row>
    <row r="19" spans="1:10" ht="17.25" customHeight="1" x14ac:dyDescent="0.25">
      <c r="A19" s="4" t="s">
        <v>13</v>
      </c>
      <c r="B19" s="1" t="s">
        <v>17</v>
      </c>
      <c r="C19" s="1" t="s">
        <v>15</v>
      </c>
      <c r="D19" s="1" t="s">
        <v>21</v>
      </c>
      <c r="E19" s="1">
        <v>1</v>
      </c>
      <c r="F19" s="1">
        <v>0</v>
      </c>
      <c r="G19" s="1">
        <v>0</v>
      </c>
      <c r="H19" s="1">
        <v>1</v>
      </c>
      <c r="I19" s="1">
        <v>2</v>
      </c>
      <c r="J19" s="1">
        <f>Raw_Data[[#This Row],[Quick Match]]+Raw_Data[[#This Row],[Manual Match]]</f>
        <v>1</v>
      </c>
    </row>
    <row r="20" spans="1:10" ht="17.25" customHeight="1" x14ac:dyDescent="0.25">
      <c r="A20" s="4" t="s">
        <v>13</v>
      </c>
      <c r="B20" s="1" t="s">
        <v>17</v>
      </c>
      <c r="C20" s="1" t="s">
        <v>15</v>
      </c>
      <c r="D20" s="1" t="s">
        <v>22</v>
      </c>
      <c r="E20" s="1">
        <v>0</v>
      </c>
      <c r="F20" s="1">
        <v>3</v>
      </c>
      <c r="G20" s="1">
        <v>1</v>
      </c>
      <c r="H20" s="1">
        <v>0</v>
      </c>
      <c r="I20" s="1">
        <v>4</v>
      </c>
      <c r="J20" s="1">
        <f>Raw_Data[[#This Row],[Quick Match]]+Raw_Data[[#This Row],[Manual Match]]</f>
        <v>3</v>
      </c>
    </row>
    <row r="21" spans="1:10" ht="17.25" customHeight="1" x14ac:dyDescent="0.25">
      <c r="A21" s="4" t="s">
        <v>13</v>
      </c>
      <c r="B21" s="1" t="s">
        <v>17</v>
      </c>
      <c r="C21" s="1" t="s">
        <v>15</v>
      </c>
      <c r="D21" s="1" t="s">
        <v>23</v>
      </c>
      <c r="E21" s="1">
        <v>0</v>
      </c>
      <c r="F21" s="1">
        <v>1</v>
      </c>
      <c r="G21" s="1">
        <v>0</v>
      </c>
      <c r="H21" s="1">
        <v>0</v>
      </c>
      <c r="I21" s="1">
        <v>1</v>
      </c>
      <c r="J21" s="1">
        <f>Raw_Data[[#This Row],[Quick Match]]+Raw_Data[[#This Row],[Manual Match]]</f>
        <v>1</v>
      </c>
    </row>
    <row r="22" spans="1:10" ht="17.25" customHeight="1" x14ac:dyDescent="0.25">
      <c r="A22" s="4" t="s">
        <v>13</v>
      </c>
      <c r="B22" s="1" t="s">
        <v>17</v>
      </c>
      <c r="C22" s="1" t="s">
        <v>15</v>
      </c>
      <c r="D22" s="1" t="s">
        <v>24</v>
      </c>
      <c r="E22" s="1">
        <v>0</v>
      </c>
      <c r="F22" s="1">
        <v>0</v>
      </c>
      <c r="G22" s="1">
        <v>0</v>
      </c>
      <c r="H22" s="1">
        <v>0</v>
      </c>
      <c r="I22" s="1">
        <v>0</v>
      </c>
      <c r="J22" s="1">
        <f>Raw_Data[[#This Row],[Quick Match]]+Raw_Data[[#This Row],[Manual Match]]</f>
        <v>0</v>
      </c>
    </row>
    <row r="23" spans="1:10" ht="17.25" customHeight="1" x14ac:dyDescent="0.25">
      <c r="A23" s="4" t="s">
        <v>13</v>
      </c>
      <c r="B23" s="1" t="s">
        <v>26</v>
      </c>
      <c r="C23" s="1" t="s">
        <v>14</v>
      </c>
      <c r="D23" s="1" t="s">
        <v>18</v>
      </c>
      <c r="E23" s="1">
        <v>6</v>
      </c>
      <c r="F23" s="1">
        <v>0</v>
      </c>
      <c r="G23" s="1">
        <v>0</v>
      </c>
      <c r="H23" s="1">
        <v>0</v>
      </c>
      <c r="I23" s="1">
        <v>6</v>
      </c>
      <c r="J23" s="1">
        <f>Raw_Data[[#This Row],[Quick Match]]+Raw_Data[[#This Row],[Manual Match]]</f>
        <v>6</v>
      </c>
    </row>
    <row r="24" spans="1:10" ht="17.25" customHeight="1" x14ac:dyDescent="0.25">
      <c r="A24" s="4" t="s">
        <v>13</v>
      </c>
      <c r="B24" s="1" t="s">
        <v>26</v>
      </c>
      <c r="C24" s="1" t="s">
        <v>14</v>
      </c>
      <c r="D24" s="1" t="s">
        <v>19</v>
      </c>
      <c r="E24" s="1">
        <v>3</v>
      </c>
      <c r="F24" s="1">
        <v>0</v>
      </c>
      <c r="G24" s="1">
        <v>0</v>
      </c>
      <c r="H24" s="1">
        <v>0</v>
      </c>
      <c r="I24" s="1">
        <v>3</v>
      </c>
      <c r="J24" s="1">
        <f>Raw_Data[[#This Row],[Quick Match]]+Raw_Data[[#This Row],[Manual Match]]</f>
        <v>3</v>
      </c>
    </row>
    <row r="25" spans="1:10" ht="17.25" customHeight="1" x14ac:dyDescent="0.25">
      <c r="A25" s="4" t="s">
        <v>13</v>
      </c>
      <c r="B25" s="1" t="s">
        <v>26</v>
      </c>
      <c r="C25" s="1" t="s">
        <v>14</v>
      </c>
      <c r="D25" s="1" t="s">
        <v>20</v>
      </c>
      <c r="E25" s="1">
        <v>0</v>
      </c>
      <c r="F25" s="1">
        <v>0</v>
      </c>
      <c r="G25" s="1">
        <v>0</v>
      </c>
      <c r="H25" s="1">
        <v>0</v>
      </c>
      <c r="I25" s="1">
        <v>0</v>
      </c>
      <c r="J25" s="1">
        <f>Raw_Data[[#This Row],[Quick Match]]+Raw_Data[[#This Row],[Manual Match]]</f>
        <v>0</v>
      </c>
    </row>
    <row r="26" spans="1:10" ht="17.25" customHeight="1" x14ac:dyDescent="0.25">
      <c r="A26" s="4" t="s">
        <v>13</v>
      </c>
      <c r="B26" s="1" t="s">
        <v>26</v>
      </c>
      <c r="C26" s="1" t="s">
        <v>14</v>
      </c>
      <c r="D26" s="1" t="s">
        <v>21</v>
      </c>
      <c r="E26" s="1">
        <v>1</v>
      </c>
      <c r="F26" s="1">
        <v>1</v>
      </c>
      <c r="G26" s="1">
        <v>3</v>
      </c>
      <c r="H26" s="1">
        <v>0</v>
      </c>
      <c r="I26" s="1">
        <v>5</v>
      </c>
      <c r="J26" s="1">
        <f>Raw_Data[[#This Row],[Quick Match]]+Raw_Data[[#This Row],[Manual Match]]</f>
        <v>2</v>
      </c>
    </row>
    <row r="27" spans="1:10" ht="17.25" customHeight="1" x14ac:dyDescent="0.25">
      <c r="A27" s="4" t="s">
        <v>13</v>
      </c>
      <c r="B27" s="1" t="s">
        <v>26</v>
      </c>
      <c r="C27" s="1" t="s">
        <v>14</v>
      </c>
      <c r="D27" s="1" t="s">
        <v>22</v>
      </c>
      <c r="E27" s="1">
        <v>0</v>
      </c>
      <c r="F27" s="1">
        <v>6</v>
      </c>
      <c r="G27" s="1">
        <v>2</v>
      </c>
      <c r="H27" s="1">
        <v>0</v>
      </c>
      <c r="I27" s="1">
        <v>8</v>
      </c>
      <c r="J27" s="1">
        <f>Raw_Data[[#This Row],[Quick Match]]+Raw_Data[[#This Row],[Manual Match]]</f>
        <v>6</v>
      </c>
    </row>
    <row r="28" spans="1:10" ht="17.25" customHeight="1" x14ac:dyDescent="0.25">
      <c r="A28" s="4" t="s">
        <v>13</v>
      </c>
      <c r="B28" s="1" t="s">
        <v>26</v>
      </c>
      <c r="C28" s="1" t="s">
        <v>14</v>
      </c>
      <c r="D28" s="1" t="s">
        <v>23</v>
      </c>
      <c r="E28" s="1">
        <v>0</v>
      </c>
      <c r="F28" s="1">
        <v>0</v>
      </c>
      <c r="G28" s="1">
        <v>0</v>
      </c>
      <c r="H28" s="1">
        <v>0</v>
      </c>
      <c r="I28" s="1">
        <v>0</v>
      </c>
      <c r="J28" s="1">
        <f>Raw_Data[[#This Row],[Quick Match]]+Raw_Data[[#This Row],[Manual Match]]</f>
        <v>0</v>
      </c>
    </row>
    <row r="29" spans="1:10" ht="17.25" customHeight="1" x14ac:dyDescent="0.25">
      <c r="A29" s="4" t="s">
        <v>13</v>
      </c>
      <c r="B29" s="1" t="s">
        <v>26</v>
      </c>
      <c r="C29" s="1" t="s">
        <v>14</v>
      </c>
      <c r="D29" s="1" t="s">
        <v>24</v>
      </c>
      <c r="E29" s="1">
        <v>0</v>
      </c>
      <c r="F29" s="1">
        <v>0</v>
      </c>
      <c r="G29" s="1">
        <v>0</v>
      </c>
      <c r="H29" s="1">
        <v>0</v>
      </c>
      <c r="I29" s="1">
        <v>0</v>
      </c>
      <c r="J29" s="1">
        <f>Raw_Data[[#This Row],[Quick Match]]+Raw_Data[[#This Row],[Manual Match]]</f>
        <v>0</v>
      </c>
    </row>
    <row r="30" spans="1:10" ht="17.25" customHeight="1" x14ac:dyDescent="0.25">
      <c r="A30" s="4" t="s">
        <v>13</v>
      </c>
      <c r="B30" s="1" t="s">
        <v>26</v>
      </c>
      <c r="C30" s="1" t="s">
        <v>25</v>
      </c>
      <c r="D30" s="1" t="s">
        <v>18</v>
      </c>
      <c r="E30" s="1">
        <v>2</v>
      </c>
      <c r="F30" s="1">
        <v>0</v>
      </c>
      <c r="G30" s="1">
        <v>0</v>
      </c>
      <c r="H30" s="1">
        <v>0</v>
      </c>
      <c r="I30" s="1">
        <v>2</v>
      </c>
      <c r="J30" s="1">
        <f>Raw_Data[[#This Row],[Quick Match]]+Raw_Data[[#This Row],[Manual Match]]</f>
        <v>2</v>
      </c>
    </row>
    <row r="31" spans="1:10" ht="17.25" customHeight="1" x14ac:dyDescent="0.25">
      <c r="A31" s="4" t="s">
        <v>13</v>
      </c>
      <c r="B31" s="1" t="s">
        <v>26</v>
      </c>
      <c r="C31" s="1" t="s">
        <v>25</v>
      </c>
      <c r="D31" s="1" t="s">
        <v>19</v>
      </c>
      <c r="E31" s="1">
        <v>2</v>
      </c>
      <c r="F31" s="1">
        <v>1</v>
      </c>
      <c r="G31" s="1">
        <v>1</v>
      </c>
      <c r="H31" s="1">
        <v>0</v>
      </c>
      <c r="I31" s="1">
        <v>4</v>
      </c>
      <c r="J31" s="1">
        <f>Raw_Data[[#This Row],[Quick Match]]+Raw_Data[[#This Row],[Manual Match]]</f>
        <v>3</v>
      </c>
    </row>
    <row r="32" spans="1:10" ht="17.25" customHeight="1" x14ac:dyDescent="0.25">
      <c r="A32" s="4" t="s">
        <v>13</v>
      </c>
      <c r="B32" s="1" t="s">
        <v>26</v>
      </c>
      <c r="C32" s="1" t="s">
        <v>25</v>
      </c>
      <c r="D32" s="1" t="s">
        <v>20</v>
      </c>
      <c r="E32" s="1">
        <v>3</v>
      </c>
      <c r="F32" s="1">
        <v>1</v>
      </c>
      <c r="G32" s="1">
        <v>0</v>
      </c>
      <c r="H32" s="1">
        <v>0</v>
      </c>
      <c r="I32" s="1">
        <v>4</v>
      </c>
      <c r="J32" s="1">
        <f>Raw_Data[[#This Row],[Quick Match]]+Raw_Data[[#This Row],[Manual Match]]</f>
        <v>4</v>
      </c>
    </row>
    <row r="33" spans="1:10" ht="17.25" customHeight="1" x14ac:dyDescent="0.25">
      <c r="A33" s="4" t="s">
        <v>13</v>
      </c>
      <c r="B33" s="1" t="s">
        <v>26</v>
      </c>
      <c r="C33" s="1" t="s">
        <v>25</v>
      </c>
      <c r="D33" s="1" t="s">
        <v>21</v>
      </c>
      <c r="E33" s="1">
        <v>2</v>
      </c>
      <c r="F33" s="1">
        <v>0</v>
      </c>
      <c r="G33" s="1">
        <v>3</v>
      </c>
      <c r="H33" s="1">
        <v>0</v>
      </c>
      <c r="I33" s="1">
        <v>5</v>
      </c>
      <c r="J33" s="1">
        <f>Raw_Data[[#This Row],[Quick Match]]+Raw_Data[[#This Row],[Manual Match]]</f>
        <v>2</v>
      </c>
    </row>
    <row r="34" spans="1:10" ht="17.25" customHeight="1" x14ac:dyDescent="0.25">
      <c r="A34" s="4" t="s">
        <v>13</v>
      </c>
      <c r="B34" s="1" t="s">
        <v>26</v>
      </c>
      <c r="C34" s="1" t="s">
        <v>25</v>
      </c>
      <c r="D34" s="1" t="s">
        <v>22</v>
      </c>
      <c r="E34" s="1">
        <v>1</v>
      </c>
      <c r="F34" s="1">
        <v>6</v>
      </c>
      <c r="G34" s="1">
        <v>2</v>
      </c>
      <c r="H34" s="1">
        <v>0</v>
      </c>
      <c r="I34" s="1">
        <v>9</v>
      </c>
      <c r="J34" s="1">
        <f>Raw_Data[[#This Row],[Quick Match]]+Raw_Data[[#This Row],[Manual Match]]</f>
        <v>7</v>
      </c>
    </row>
    <row r="35" spans="1:10" ht="17.25" customHeight="1" x14ac:dyDescent="0.25">
      <c r="A35" s="4" t="s">
        <v>13</v>
      </c>
      <c r="B35" s="1" t="s">
        <v>26</v>
      </c>
      <c r="C35" s="1" t="s">
        <v>25</v>
      </c>
      <c r="D35" s="1" t="s">
        <v>23</v>
      </c>
      <c r="E35" s="1">
        <v>0</v>
      </c>
      <c r="F35" s="1">
        <v>1</v>
      </c>
      <c r="G35" s="1">
        <v>1</v>
      </c>
      <c r="H35" s="1">
        <v>0</v>
      </c>
      <c r="I35" s="1">
        <v>2</v>
      </c>
      <c r="J35" s="1">
        <f>Raw_Data[[#This Row],[Quick Match]]+Raw_Data[[#This Row],[Manual Match]]</f>
        <v>1</v>
      </c>
    </row>
    <row r="36" spans="1:10" ht="17.25" customHeight="1" x14ac:dyDescent="0.25">
      <c r="A36" s="4" t="s">
        <v>13</v>
      </c>
      <c r="B36" s="1" t="s">
        <v>26</v>
      </c>
      <c r="C36" s="1" t="s">
        <v>25</v>
      </c>
      <c r="D36" s="1" t="s">
        <v>24</v>
      </c>
      <c r="E36" s="1">
        <v>0</v>
      </c>
      <c r="F36" s="1">
        <v>1</v>
      </c>
      <c r="G36" s="1">
        <v>0</v>
      </c>
      <c r="H36" s="1">
        <v>0</v>
      </c>
      <c r="I36" s="1">
        <v>1</v>
      </c>
      <c r="J36" s="1">
        <f>Raw_Data[[#This Row],[Quick Match]]+Raw_Data[[#This Row],[Manual Match]]</f>
        <v>1</v>
      </c>
    </row>
    <row r="37" spans="1:10" ht="17.25" customHeight="1" x14ac:dyDescent="0.25">
      <c r="A37" s="4" t="s">
        <v>13</v>
      </c>
      <c r="B37" s="1" t="s">
        <v>26</v>
      </c>
      <c r="C37" s="1" t="s">
        <v>15</v>
      </c>
      <c r="D37" s="1" t="s">
        <v>18</v>
      </c>
      <c r="E37" s="1">
        <v>2</v>
      </c>
      <c r="F37" s="1">
        <v>0</v>
      </c>
      <c r="G37" s="1">
        <v>0</v>
      </c>
      <c r="H37" s="1">
        <v>0</v>
      </c>
      <c r="I37" s="1">
        <v>2</v>
      </c>
      <c r="J37" s="1">
        <f>Raw_Data[[#This Row],[Quick Match]]+Raw_Data[[#This Row],[Manual Match]]</f>
        <v>2</v>
      </c>
    </row>
    <row r="38" spans="1:10" ht="17.25" customHeight="1" x14ac:dyDescent="0.25">
      <c r="A38" s="4" t="s">
        <v>13</v>
      </c>
      <c r="B38" s="1" t="s">
        <v>26</v>
      </c>
      <c r="C38" s="1" t="s">
        <v>15</v>
      </c>
      <c r="D38" s="1" t="s">
        <v>19</v>
      </c>
      <c r="E38" s="1">
        <v>0</v>
      </c>
      <c r="F38" s="1">
        <v>0</v>
      </c>
      <c r="G38" s="1">
        <v>0</v>
      </c>
      <c r="H38" s="1">
        <v>0</v>
      </c>
      <c r="I38" s="1">
        <v>0</v>
      </c>
      <c r="J38" s="1">
        <f>Raw_Data[[#This Row],[Quick Match]]+Raw_Data[[#This Row],[Manual Match]]</f>
        <v>0</v>
      </c>
    </row>
    <row r="39" spans="1:10" ht="17.25" customHeight="1" x14ac:dyDescent="0.25">
      <c r="A39" s="4" t="s">
        <v>13</v>
      </c>
      <c r="B39" s="1" t="s">
        <v>26</v>
      </c>
      <c r="C39" s="1" t="s">
        <v>15</v>
      </c>
      <c r="D39" s="1" t="s">
        <v>20</v>
      </c>
      <c r="E39" s="1">
        <v>3</v>
      </c>
      <c r="F39" s="1">
        <v>0</v>
      </c>
      <c r="G39" s="1">
        <v>1</v>
      </c>
      <c r="H39" s="1">
        <v>0</v>
      </c>
      <c r="I39" s="1">
        <v>4</v>
      </c>
      <c r="J39" s="1">
        <f>Raw_Data[[#This Row],[Quick Match]]+Raw_Data[[#This Row],[Manual Match]]</f>
        <v>3</v>
      </c>
    </row>
    <row r="40" spans="1:10" ht="17.25" customHeight="1" x14ac:dyDescent="0.25">
      <c r="A40" s="4" t="s">
        <v>13</v>
      </c>
      <c r="B40" s="1" t="s">
        <v>26</v>
      </c>
      <c r="C40" s="1" t="s">
        <v>15</v>
      </c>
      <c r="D40" s="1" t="s">
        <v>21</v>
      </c>
      <c r="E40" s="1">
        <v>3</v>
      </c>
      <c r="F40" s="1">
        <v>1</v>
      </c>
      <c r="G40" s="1">
        <v>0</v>
      </c>
      <c r="H40" s="1">
        <v>0</v>
      </c>
      <c r="I40" s="1">
        <v>4</v>
      </c>
      <c r="J40" s="1">
        <f>Raw_Data[[#This Row],[Quick Match]]+Raw_Data[[#This Row],[Manual Match]]</f>
        <v>4</v>
      </c>
    </row>
    <row r="41" spans="1:10" ht="17.25" customHeight="1" x14ac:dyDescent="0.25">
      <c r="A41" s="4" t="s">
        <v>13</v>
      </c>
      <c r="B41" s="1" t="s">
        <v>26</v>
      </c>
      <c r="C41" s="1" t="s">
        <v>15</v>
      </c>
      <c r="D41" s="1" t="s">
        <v>22</v>
      </c>
      <c r="E41" s="1">
        <v>0</v>
      </c>
      <c r="F41" s="1">
        <v>3</v>
      </c>
      <c r="G41" s="1">
        <v>1</v>
      </c>
      <c r="H41" s="1">
        <v>0</v>
      </c>
      <c r="I41" s="1">
        <v>4</v>
      </c>
      <c r="J41" s="1">
        <f>Raw_Data[[#This Row],[Quick Match]]+Raw_Data[[#This Row],[Manual Match]]</f>
        <v>3</v>
      </c>
    </row>
    <row r="42" spans="1:10" ht="17.25" customHeight="1" x14ac:dyDescent="0.25">
      <c r="A42" s="4" t="s">
        <v>13</v>
      </c>
      <c r="B42" s="1" t="s">
        <v>26</v>
      </c>
      <c r="C42" s="1" t="s">
        <v>15</v>
      </c>
      <c r="D42" s="1" t="s">
        <v>23</v>
      </c>
      <c r="E42" s="1">
        <v>0</v>
      </c>
      <c r="F42" s="1">
        <v>1</v>
      </c>
      <c r="G42" s="1">
        <v>2</v>
      </c>
      <c r="H42" s="1">
        <v>0</v>
      </c>
      <c r="I42" s="1">
        <v>3</v>
      </c>
      <c r="J42" s="1">
        <f>Raw_Data[[#This Row],[Quick Match]]+Raw_Data[[#This Row],[Manual Match]]</f>
        <v>1</v>
      </c>
    </row>
    <row r="43" spans="1:10" ht="17.25" customHeight="1" x14ac:dyDescent="0.25">
      <c r="A43" s="4" t="s">
        <v>13</v>
      </c>
      <c r="B43" s="1" t="s">
        <v>26</v>
      </c>
      <c r="C43" s="1" t="s">
        <v>15</v>
      </c>
      <c r="D43" s="1" t="s">
        <v>24</v>
      </c>
      <c r="E43" s="1">
        <v>0</v>
      </c>
      <c r="F43" s="1">
        <v>0</v>
      </c>
      <c r="G43" s="1">
        <v>0</v>
      </c>
      <c r="H43" s="1">
        <v>0</v>
      </c>
      <c r="I43" s="1">
        <v>0</v>
      </c>
      <c r="J43" s="1">
        <f>Raw_Data[[#This Row],[Quick Match]]+Raw_Data[[#This Row],[Manual Match]]</f>
        <v>0</v>
      </c>
    </row>
    <row r="44" spans="1:10" ht="17.25" customHeight="1" x14ac:dyDescent="0.25">
      <c r="A44" s="4" t="s">
        <v>13</v>
      </c>
      <c r="B44" s="1" t="s">
        <v>27</v>
      </c>
      <c r="C44" s="1" t="s">
        <v>14</v>
      </c>
      <c r="D44" s="1" t="s">
        <v>18</v>
      </c>
      <c r="E44" s="1">
        <v>0</v>
      </c>
      <c r="F44" s="1">
        <v>0</v>
      </c>
      <c r="G44" s="1">
        <v>0</v>
      </c>
      <c r="H44" s="1">
        <v>0</v>
      </c>
      <c r="I44" s="1">
        <v>0</v>
      </c>
      <c r="J44" s="1">
        <f>Raw_Data[[#This Row],[Quick Match]]+Raw_Data[[#This Row],[Manual Match]]</f>
        <v>0</v>
      </c>
    </row>
    <row r="45" spans="1:10" ht="17.25" customHeight="1" x14ac:dyDescent="0.25">
      <c r="A45" s="4" t="s">
        <v>13</v>
      </c>
      <c r="B45" s="1" t="s">
        <v>27</v>
      </c>
      <c r="C45" s="1" t="s">
        <v>14</v>
      </c>
      <c r="D45" s="1" t="s">
        <v>19</v>
      </c>
      <c r="E45" s="1">
        <v>0</v>
      </c>
      <c r="F45" s="1">
        <v>0</v>
      </c>
      <c r="G45" s="1">
        <v>0</v>
      </c>
      <c r="H45" s="1">
        <v>0</v>
      </c>
      <c r="I45" s="1">
        <v>0</v>
      </c>
      <c r="J45" s="1">
        <f>Raw_Data[[#This Row],[Quick Match]]+Raw_Data[[#This Row],[Manual Match]]</f>
        <v>0</v>
      </c>
    </row>
    <row r="46" spans="1:10" ht="17.25" customHeight="1" x14ac:dyDescent="0.25">
      <c r="A46" s="4" t="s">
        <v>13</v>
      </c>
      <c r="B46" s="1" t="s">
        <v>27</v>
      </c>
      <c r="C46" s="1" t="s">
        <v>14</v>
      </c>
      <c r="D46" s="1" t="s">
        <v>20</v>
      </c>
      <c r="E46" s="1">
        <v>0</v>
      </c>
      <c r="F46" s="1">
        <v>0</v>
      </c>
      <c r="G46" s="1">
        <v>0</v>
      </c>
      <c r="H46" s="1">
        <v>0</v>
      </c>
      <c r="I46" s="1">
        <v>0</v>
      </c>
      <c r="J46" s="1">
        <f>Raw_Data[[#This Row],[Quick Match]]+Raw_Data[[#This Row],[Manual Match]]</f>
        <v>0</v>
      </c>
    </row>
    <row r="47" spans="1:10" ht="17.25" customHeight="1" x14ac:dyDescent="0.25">
      <c r="A47" s="4" t="s">
        <v>13</v>
      </c>
      <c r="B47" s="1" t="s">
        <v>27</v>
      </c>
      <c r="C47" s="1" t="s">
        <v>14</v>
      </c>
      <c r="D47" s="1" t="s">
        <v>21</v>
      </c>
      <c r="E47" s="1">
        <v>0</v>
      </c>
      <c r="F47" s="1">
        <v>0</v>
      </c>
      <c r="G47" s="1">
        <v>0</v>
      </c>
      <c r="H47" s="1">
        <v>0</v>
      </c>
      <c r="I47" s="1">
        <v>0</v>
      </c>
      <c r="J47" s="1">
        <f>Raw_Data[[#This Row],[Quick Match]]+Raw_Data[[#This Row],[Manual Match]]</f>
        <v>0</v>
      </c>
    </row>
    <row r="48" spans="1:10" ht="17.25" customHeight="1" x14ac:dyDescent="0.25">
      <c r="A48" s="4" t="s">
        <v>13</v>
      </c>
      <c r="B48" s="1" t="s">
        <v>27</v>
      </c>
      <c r="C48" s="1" t="s">
        <v>14</v>
      </c>
      <c r="D48" s="1" t="s">
        <v>22</v>
      </c>
      <c r="E48" s="1">
        <v>0</v>
      </c>
      <c r="F48" s="1">
        <v>0</v>
      </c>
      <c r="G48" s="1">
        <v>0</v>
      </c>
      <c r="H48" s="1">
        <v>0</v>
      </c>
      <c r="I48" s="1">
        <v>0</v>
      </c>
      <c r="J48" s="1">
        <f>Raw_Data[[#This Row],[Quick Match]]+Raw_Data[[#This Row],[Manual Match]]</f>
        <v>0</v>
      </c>
    </row>
    <row r="49" spans="1:10" ht="17.25" customHeight="1" x14ac:dyDescent="0.25">
      <c r="A49" s="4" t="s">
        <v>13</v>
      </c>
      <c r="B49" s="1" t="s">
        <v>27</v>
      </c>
      <c r="C49" s="1" t="s">
        <v>14</v>
      </c>
      <c r="D49" s="1" t="s">
        <v>23</v>
      </c>
      <c r="E49" s="1">
        <v>0</v>
      </c>
      <c r="F49" s="1">
        <v>0</v>
      </c>
      <c r="G49" s="1">
        <v>0</v>
      </c>
      <c r="H49" s="1">
        <v>0</v>
      </c>
      <c r="I49" s="1">
        <v>0</v>
      </c>
      <c r="J49" s="1">
        <f>Raw_Data[[#This Row],[Quick Match]]+Raw_Data[[#This Row],[Manual Match]]</f>
        <v>0</v>
      </c>
    </row>
    <row r="50" spans="1:10" ht="17.25" customHeight="1" x14ac:dyDescent="0.25">
      <c r="A50" s="4" t="s">
        <v>13</v>
      </c>
      <c r="B50" s="1" t="s">
        <v>27</v>
      </c>
      <c r="C50" s="1" t="s">
        <v>14</v>
      </c>
      <c r="D50" s="1" t="s">
        <v>24</v>
      </c>
      <c r="E50" s="1">
        <v>0</v>
      </c>
      <c r="F50" s="1">
        <v>0</v>
      </c>
      <c r="G50" s="1">
        <v>0</v>
      </c>
      <c r="H50" s="1">
        <v>0</v>
      </c>
      <c r="I50" s="1">
        <v>0</v>
      </c>
      <c r="J50" s="1">
        <f>Raw_Data[[#This Row],[Quick Match]]+Raw_Data[[#This Row],[Manual Match]]</f>
        <v>0</v>
      </c>
    </row>
    <row r="51" spans="1:10" ht="17.25" customHeight="1" x14ac:dyDescent="0.25">
      <c r="A51" s="4" t="s">
        <v>13</v>
      </c>
      <c r="B51" s="1" t="s">
        <v>27</v>
      </c>
      <c r="C51" s="1" t="s">
        <v>25</v>
      </c>
      <c r="D51" s="1" t="s">
        <v>18</v>
      </c>
      <c r="E51" s="1">
        <v>0</v>
      </c>
      <c r="F51" s="1">
        <v>0</v>
      </c>
      <c r="G51" s="1">
        <v>0</v>
      </c>
      <c r="H51" s="1">
        <v>0</v>
      </c>
      <c r="I51" s="1">
        <v>0</v>
      </c>
      <c r="J51" s="1">
        <f>Raw_Data[[#This Row],[Quick Match]]+Raw_Data[[#This Row],[Manual Match]]</f>
        <v>0</v>
      </c>
    </row>
    <row r="52" spans="1:10" ht="17.25" customHeight="1" x14ac:dyDescent="0.25">
      <c r="A52" s="4" t="s">
        <v>13</v>
      </c>
      <c r="B52" s="1" t="s">
        <v>27</v>
      </c>
      <c r="C52" s="1" t="s">
        <v>25</v>
      </c>
      <c r="D52" s="1" t="s">
        <v>19</v>
      </c>
      <c r="E52" s="1">
        <v>1</v>
      </c>
      <c r="F52" s="1">
        <v>0</v>
      </c>
      <c r="G52" s="1">
        <v>0</v>
      </c>
      <c r="H52" s="1">
        <v>0</v>
      </c>
      <c r="I52" s="1">
        <v>1</v>
      </c>
      <c r="J52" s="1">
        <f>Raw_Data[[#This Row],[Quick Match]]+Raw_Data[[#This Row],[Manual Match]]</f>
        <v>1</v>
      </c>
    </row>
    <row r="53" spans="1:10" ht="17.25" customHeight="1" x14ac:dyDescent="0.25">
      <c r="A53" s="4" t="s">
        <v>13</v>
      </c>
      <c r="B53" s="1" t="s">
        <v>27</v>
      </c>
      <c r="C53" s="1" t="s">
        <v>25</v>
      </c>
      <c r="D53" s="1" t="s">
        <v>20</v>
      </c>
      <c r="E53" s="1">
        <v>1</v>
      </c>
      <c r="F53" s="1">
        <v>0</v>
      </c>
      <c r="G53" s="1">
        <v>0</v>
      </c>
      <c r="H53" s="1">
        <v>1</v>
      </c>
      <c r="I53" s="1">
        <v>2</v>
      </c>
      <c r="J53" s="1">
        <f>Raw_Data[[#This Row],[Quick Match]]+Raw_Data[[#This Row],[Manual Match]]</f>
        <v>1</v>
      </c>
    </row>
    <row r="54" spans="1:10" ht="17.25" customHeight="1" x14ac:dyDescent="0.25">
      <c r="A54" s="4" t="s">
        <v>13</v>
      </c>
      <c r="B54" s="1" t="s">
        <v>27</v>
      </c>
      <c r="C54" s="1" t="s">
        <v>25</v>
      </c>
      <c r="D54" s="1" t="s">
        <v>21</v>
      </c>
      <c r="E54" s="1">
        <v>0</v>
      </c>
      <c r="F54" s="1">
        <v>0</v>
      </c>
      <c r="G54" s="1">
        <v>1</v>
      </c>
      <c r="H54" s="1">
        <v>0</v>
      </c>
      <c r="I54" s="1">
        <v>1</v>
      </c>
      <c r="J54" s="1">
        <f>Raw_Data[[#This Row],[Quick Match]]+Raw_Data[[#This Row],[Manual Match]]</f>
        <v>0</v>
      </c>
    </row>
    <row r="55" spans="1:10" ht="17.25" customHeight="1" x14ac:dyDescent="0.25">
      <c r="A55" s="4" t="s">
        <v>13</v>
      </c>
      <c r="B55" s="1" t="s">
        <v>27</v>
      </c>
      <c r="C55" s="1" t="s">
        <v>25</v>
      </c>
      <c r="D55" s="1" t="s">
        <v>22</v>
      </c>
      <c r="E55" s="1">
        <v>0</v>
      </c>
      <c r="F55" s="1">
        <v>0</v>
      </c>
      <c r="G55" s="1">
        <v>0</v>
      </c>
      <c r="H55" s="1">
        <v>0</v>
      </c>
      <c r="I55" s="1">
        <v>0</v>
      </c>
      <c r="J55" s="1">
        <f>Raw_Data[[#This Row],[Quick Match]]+Raw_Data[[#This Row],[Manual Match]]</f>
        <v>0</v>
      </c>
    </row>
    <row r="56" spans="1:10" ht="17.25" customHeight="1" x14ac:dyDescent="0.25">
      <c r="A56" s="4" t="s">
        <v>13</v>
      </c>
      <c r="B56" s="1" t="s">
        <v>27</v>
      </c>
      <c r="C56" s="1" t="s">
        <v>25</v>
      </c>
      <c r="D56" s="1" t="s">
        <v>23</v>
      </c>
      <c r="E56" s="1">
        <v>0</v>
      </c>
      <c r="F56" s="1">
        <v>1</v>
      </c>
      <c r="G56" s="1">
        <v>1</v>
      </c>
      <c r="H56" s="1">
        <v>0</v>
      </c>
      <c r="I56" s="1">
        <v>2</v>
      </c>
      <c r="J56" s="1">
        <f>Raw_Data[[#This Row],[Quick Match]]+Raw_Data[[#This Row],[Manual Match]]</f>
        <v>1</v>
      </c>
    </row>
    <row r="57" spans="1:10" ht="17.25" customHeight="1" x14ac:dyDescent="0.25">
      <c r="A57" s="4" t="s">
        <v>13</v>
      </c>
      <c r="B57" s="1" t="s">
        <v>27</v>
      </c>
      <c r="C57" s="1" t="s">
        <v>25</v>
      </c>
      <c r="D57" s="1" t="s">
        <v>24</v>
      </c>
      <c r="E57" s="1">
        <v>0</v>
      </c>
      <c r="F57" s="1">
        <v>0</v>
      </c>
      <c r="G57" s="1">
        <v>0</v>
      </c>
      <c r="H57" s="1">
        <v>0</v>
      </c>
      <c r="I57" s="1">
        <v>0</v>
      </c>
      <c r="J57" s="1">
        <f>Raw_Data[[#This Row],[Quick Match]]+Raw_Data[[#This Row],[Manual Match]]</f>
        <v>0</v>
      </c>
    </row>
    <row r="58" spans="1:10" ht="17.25" customHeight="1" x14ac:dyDescent="0.25">
      <c r="A58" s="4" t="s">
        <v>13</v>
      </c>
      <c r="B58" s="1" t="s">
        <v>27</v>
      </c>
      <c r="C58" s="1" t="s">
        <v>15</v>
      </c>
      <c r="D58" s="1" t="s">
        <v>18</v>
      </c>
      <c r="E58" s="1">
        <v>1</v>
      </c>
      <c r="F58" s="1">
        <v>0</v>
      </c>
      <c r="G58" s="1">
        <v>0</v>
      </c>
      <c r="H58" s="1">
        <v>0</v>
      </c>
      <c r="I58" s="1">
        <v>1</v>
      </c>
      <c r="J58" s="1">
        <f>Raw_Data[[#This Row],[Quick Match]]+Raw_Data[[#This Row],[Manual Match]]</f>
        <v>1</v>
      </c>
    </row>
    <row r="59" spans="1:10" ht="17.25" customHeight="1" x14ac:dyDescent="0.25">
      <c r="A59" s="4" t="s">
        <v>13</v>
      </c>
      <c r="B59" s="1" t="s">
        <v>27</v>
      </c>
      <c r="C59" s="1" t="s">
        <v>15</v>
      </c>
      <c r="D59" s="1" t="s">
        <v>19</v>
      </c>
      <c r="E59" s="1">
        <v>1</v>
      </c>
      <c r="F59" s="1">
        <v>0</v>
      </c>
      <c r="G59" s="1">
        <v>0</v>
      </c>
      <c r="H59" s="1">
        <v>0</v>
      </c>
      <c r="I59" s="1">
        <v>1</v>
      </c>
      <c r="J59" s="1">
        <f>Raw_Data[[#This Row],[Quick Match]]+Raw_Data[[#This Row],[Manual Match]]</f>
        <v>1</v>
      </c>
    </row>
    <row r="60" spans="1:10" ht="17.25" customHeight="1" x14ac:dyDescent="0.25">
      <c r="A60" s="4" t="s">
        <v>13</v>
      </c>
      <c r="B60" s="1" t="s">
        <v>27</v>
      </c>
      <c r="C60" s="1" t="s">
        <v>15</v>
      </c>
      <c r="D60" s="1" t="s">
        <v>20</v>
      </c>
      <c r="E60" s="1">
        <v>0</v>
      </c>
      <c r="F60" s="1">
        <v>0</v>
      </c>
      <c r="G60" s="1">
        <v>0</v>
      </c>
      <c r="H60" s="1">
        <v>0</v>
      </c>
      <c r="I60" s="1">
        <v>0</v>
      </c>
      <c r="J60" s="1">
        <f>Raw_Data[[#This Row],[Quick Match]]+Raw_Data[[#This Row],[Manual Match]]</f>
        <v>0</v>
      </c>
    </row>
    <row r="61" spans="1:10" ht="17.25" customHeight="1" x14ac:dyDescent="0.25">
      <c r="A61" s="4" t="s">
        <v>13</v>
      </c>
      <c r="B61" s="1" t="s">
        <v>27</v>
      </c>
      <c r="C61" s="1" t="s">
        <v>15</v>
      </c>
      <c r="D61" s="1" t="s">
        <v>21</v>
      </c>
      <c r="E61" s="1">
        <v>0</v>
      </c>
      <c r="F61" s="1">
        <v>0</v>
      </c>
      <c r="G61" s="1">
        <v>0</v>
      </c>
      <c r="H61" s="1">
        <v>0</v>
      </c>
      <c r="I61" s="1">
        <v>0</v>
      </c>
      <c r="J61" s="1">
        <f>Raw_Data[[#This Row],[Quick Match]]+Raw_Data[[#This Row],[Manual Match]]</f>
        <v>0</v>
      </c>
    </row>
    <row r="62" spans="1:10" ht="17.25" customHeight="1" x14ac:dyDescent="0.25">
      <c r="A62" s="4" t="s">
        <v>13</v>
      </c>
      <c r="B62" s="1" t="s">
        <v>27</v>
      </c>
      <c r="C62" s="1" t="s">
        <v>15</v>
      </c>
      <c r="D62" s="1" t="s">
        <v>22</v>
      </c>
      <c r="E62" s="1">
        <v>0</v>
      </c>
      <c r="F62" s="1">
        <v>0</v>
      </c>
      <c r="G62" s="1">
        <v>0</v>
      </c>
      <c r="H62" s="1">
        <v>0</v>
      </c>
      <c r="I62" s="1">
        <v>0</v>
      </c>
      <c r="J62" s="1">
        <f>Raw_Data[[#This Row],[Quick Match]]+Raw_Data[[#This Row],[Manual Match]]</f>
        <v>0</v>
      </c>
    </row>
    <row r="63" spans="1:10" ht="17.25" customHeight="1" x14ac:dyDescent="0.25">
      <c r="A63" s="4" t="s">
        <v>13</v>
      </c>
      <c r="B63" s="1" t="s">
        <v>27</v>
      </c>
      <c r="C63" s="1" t="s">
        <v>15</v>
      </c>
      <c r="D63" s="1" t="s">
        <v>23</v>
      </c>
      <c r="E63" s="1">
        <v>1</v>
      </c>
      <c r="F63" s="1">
        <v>1</v>
      </c>
      <c r="G63" s="1">
        <v>0</v>
      </c>
      <c r="H63" s="1">
        <v>0</v>
      </c>
      <c r="I63" s="1">
        <v>2</v>
      </c>
      <c r="J63" s="1">
        <f>Raw_Data[[#This Row],[Quick Match]]+Raw_Data[[#This Row],[Manual Match]]</f>
        <v>2</v>
      </c>
    </row>
    <row r="64" spans="1:10" ht="17.25" customHeight="1" x14ac:dyDescent="0.25">
      <c r="A64" s="4" t="s">
        <v>13</v>
      </c>
      <c r="B64" s="1" t="s">
        <v>27</v>
      </c>
      <c r="C64" s="1" t="s">
        <v>15</v>
      </c>
      <c r="D64" s="1" t="s">
        <v>24</v>
      </c>
      <c r="E64" s="1">
        <v>0</v>
      </c>
      <c r="F64" s="1">
        <v>0</v>
      </c>
      <c r="G64" s="1">
        <v>0</v>
      </c>
      <c r="H64" s="1">
        <v>0</v>
      </c>
      <c r="I64" s="1">
        <v>0</v>
      </c>
      <c r="J64" s="1">
        <f>Raw_Data[[#This Row],[Quick Match]]+Raw_Data[[#This Row],[Manual Match]]</f>
        <v>0</v>
      </c>
    </row>
    <row r="65" spans="1:10" ht="17.25" customHeight="1" x14ac:dyDescent="0.25">
      <c r="A65" s="4" t="s">
        <v>13</v>
      </c>
      <c r="B65" s="1" t="s">
        <v>28</v>
      </c>
      <c r="C65" s="1" t="s">
        <v>14</v>
      </c>
      <c r="D65" s="1" t="s">
        <v>18</v>
      </c>
      <c r="E65" s="1">
        <v>3</v>
      </c>
      <c r="F65" s="1">
        <v>0</v>
      </c>
      <c r="G65" s="1">
        <v>0</v>
      </c>
      <c r="H65" s="1">
        <v>0</v>
      </c>
      <c r="I65" s="1">
        <v>3</v>
      </c>
      <c r="J65" s="1">
        <f>Raw_Data[[#This Row],[Quick Match]]+Raw_Data[[#This Row],[Manual Match]]</f>
        <v>3</v>
      </c>
    </row>
    <row r="66" spans="1:10" ht="17.25" customHeight="1" x14ac:dyDescent="0.25">
      <c r="A66" s="4" t="s">
        <v>13</v>
      </c>
      <c r="B66" s="1" t="s">
        <v>28</v>
      </c>
      <c r="C66" s="1" t="s">
        <v>14</v>
      </c>
      <c r="D66" s="1" t="s">
        <v>19</v>
      </c>
      <c r="E66" s="1">
        <v>1</v>
      </c>
      <c r="F66" s="1">
        <v>1</v>
      </c>
      <c r="G66" s="1">
        <v>0</v>
      </c>
      <c r="H66" s="1">
        <v>0</v>
      </c>
      <c r="I66" s="1">
        <v>2</v>
      </c>
      <c r="J66" s="1">
        <f>Raw_Data[[#This Row],[Quick Match]]+Raw_Data[[#This Row],[Manual Match]]</f>
        <v>2</v>
      </c>
    </row>
    <row r="67" spans="1:10" ht="17.25" customHeight="1" x14ac:dyDescent="0.25">
      <c r="A67" s="4" t="s">
        <v>13</v>
      </c>
      <c r="B67" s="1" t="s">
        <v>28</v>
      </c>
      <c r="C67" s="1" t="s">
        <v>14</v>
      </c>
      <c r="D67" s="1" t="s">
        <v>20</v>
      </c>
      <c r="E67" s="1">
        <v>2</v>
      </c>
      <c r="F67" s="1">
        <v>1</v>
      </c>
      <c r="G67" s="1">
        <v>0</v>
      </c>
      <c r="H67" s="1">
        <v>0</v>
      </c>
      <c r="I67" s="1">
        <v>3</v>
      </c>
      <c r="J67" s="1">
        <f>Raw_Data[[#This Row],[Quick Match]]+Raw_Data[[#This Row],[Manual Match]]</f>
        <v>3</v>
      </c>
    </row>
    <row r="68" spans="1:10" ht="17.25" customHeight="1" x14ac:dyDescent="0.25">
      <c r="A68" s="4" t="s">
        <v>13</v>
      </c>
      <c r="B68" s="1" t="s">
        <v>28</v>
      </c>
      <c r="C68" s="1" t="s">
        <v>14</v>
      </c>
      <c r="D68" s="1" t="s">
        <v>21</v>
      </c>
      <c r="E68" s="1">
        <v>2</v>
      </c>
      <c r="F68" s="1">
        <v>4</v>
      </c>
      <c r="G68" s="1">
        <v>1</v>
      </c>
      <c r="H68" s="1">
        <v>0</v>
      </c>
      <c r="I68" s="1">
        <v>7</v>
      </c>
      <c r="J68" s="1">
        <f>Raw_Data[[#This Row],[Quick Match]]+Raw_Data[[#This Row],[Manual Match]]</f>
        <v>6</v>
      </c>
    </row>
    <row r="69" spans="1:10" ht="17.25" customHeight="1" x14ac:dyDescent="0.25">
      <c r="A69" s="4" t="s">
        <v>13</v>
      </c>
      <c r="B69" s="1" t="s">
        <v>28</v>
      </c>
      <c r="C69" s="1" t="s">
        <v>14</v>
      </c>
      <c r="D69" s="1" t="s">
        <v>22</v>
      </c>
      <c r="E69" s="1">
        <v>2</v>
      </c>
      <c r="F69" s="1">
        <v>4</v>
      </c>
      <c r="G69" s="1">
        <v>4</v>
      </c>
      <c r="H69" s="1">
        <v>0</v>
      </c>
      <c r="I69" s="1">
        <v>10</v>
      </c>
      <c r="J69" s="1">
        <f>Raw_Data[[#This Row],[Quick Match]]+Raw_Data[[#This Row],[Manual Match]]</f>
        <v>6</v>
      </c>
    </row>
    <row r="70" spans="1:10" ht="17.25" customHeight="1" x14ac:dyDescent="0.25">
      <c r="A70" s="4" t="s">
        <v>13</v>
      </c>
      <c r="B70" s="1" t="s">
        <v>28</v>
      </c>
      <c r="C70" s="1" t="s">
        <v>14</v>
      </c>
      <c r="D70" s="1" t="s">
        <v>23</v>
      </c>
      <c r="E70" s="1">
        <v>0</v>
      </c>
      <c r="F70" s="1">
        <v>2</v>
      </c>
      <c r="G70" s="1">
        <v>0</v>
      </c>
      <c r="H70" s="1">
        <v>1</v>
      </c>
      <c r="I70" s="1">
        <v>3</v>
      </c>
      <c r="J70" s="1">
        <f>Raw_Data[[#This Row],[Quick Match]]+Raw_Data[[#This Row],[Manual Match]]</f>
        <v>2</v>
      </c>
    </row>
    <row r="71" spans="1:10" ht="17.25" customHeight="1" x14ac:dyDescent="0.25">
      <c r="A71" s="4" t="s">
        <v>13</v>
      </c>
      <c r="B71" s="1" t="s">
        <v>28</v>
      </c>
      <c r="C71" s="1" t="s">
        <v>14</v>
      </c>
      <c r="D71" s="1" t="s">
        <v>24</v>
      </c>
      <c r="E71" s="1">
        <v>0</v>
      </c>
      <c r="F71" s="1">
        <v>0</v>
      </c>
      <c r="G71" s="1">
        <v>0</v>
      </c>
      <c r="H71" s="1">
        <v>0</v>
      </c>
      <c r="I71" s="1">
        <v>0</v>
      </c>
      <c r="J71" s="1">
        <f>Raw_Data[[#This Row],[Quick Match]]+Raw_Data[[#This Row],[Manual Match]]</f>
        <v>0</v>
      </c>
    </row>
    <row r="72" spans="1:10" ht="17.25" customHeight="1" x14ac:dyDescent="0.25">
      <c r="A72" s="4" t="s">
        <v>13</v>
      </c>
      <c r="B72" s="1" t="s">
        <v>28</v>
      </c>
      <c r="C72" s="1" t="s">
        <v>25</v>
      </c>
      <c r="D72" s="1" t="s">
        <v>18</v>
      </c>
      <c r="E72" s="1">
        <v>16</v>
      </c>
      <c r="F72" s="1">
        <v>0</v>
      </c>
      <c r="G72" s="1">
        <v>0</v>
      </c>
      <c r="H72" s="1">
        <v>0</v>
      </c>
      <c r="I72" s="1">
        <v>16</v>
      </c>
      <c r="J72" s="1">
        <f>Raw_Data[[#This Row],[Quick Match]]+Raw_Data[[#This Row],[Manual Match]]</f>
        <v>16</v>
      </c>
    </row>
    <row r="73" spans="1:10" ht="17.25" customHeight="1" x14ac:dyDescent="0.25">
      <c r="A73" s="4" t="s">
        <v>13</v>
      </c>
      <c r="B73" s="1" t="s">
        <v>28</v>
      </c>
      <c r="C73" s="1" t="s">
        <v>25</v>
      </c>
      <c r="D73" s="1" t="s">
        <v>19</v>
      </c>
      <c r="E73" s="1">
        <v>4</v>
      </c>
      <c r="F73" s="1">
        <v>1</v>
      </c>
      <c r="G73" s="1">
        <v>0</v>
      </c>
      <c r="H73" s="1">
        <v>0</v>
      </c>
      <c r="I73" s="1">
        <v>5</v>
      </c>
      <c r="J73" s="1">
        <f>Raw_Data[[#This Row],[Quick Match]]+Raw_Data[[#This Row],[Manual Match]]</f>
        <v>5</v>
      </c>
    </row>
    <row r="74" spans="1:10" ht="17.25" customHeight="1" x14ac:dyDescent="0.25">
      <c r="A74" s="4" t="s">
        <v>13</v>
      </c>
      <c r="B74" s="1" t="s">
        <v>28</v>
      </c>
      <c r="C74" s="1" t="s">
        <v>25</v>
      </c>
      <c r="D74" s="1" t="s">
        <v>20</v>
      </c>
      <c r="E74" s="1">
        <v>6</v>
      </c>
      <c r="F74" s="1">
        <v>1</v>
      </c>
      <c r="G74" s="1">
        <v>2</v>
      </c>
      <c r="H74" s="1">
        <v>0</v>
      </c>
      <c r="I74" s="1">
        <v>9</v>
      </c>
      <c r="J74" s="1">
        <f>Raw_Data[[#This Row],[Quick Match]]+Raw_Data[[#This Row],[Manual Match]]</f>
        <v>7</v>
      </c>
    </row>
    <row r="75" spans="1:10" ht="17.25" customHeight="1" x14ac:dyDescent="0.25">
      <c r="A75" s="4" t="s">
        <v>13</v>
      </c>
      <c r="B75" s="1" t="s">
        <v>28</v>
      </c>
      <c r="C75" s="1" t="s">
        <v>25</v>
      </c>
      <c r="D75" s="1" t="s">
        <v>21</v>
      </c>
      <c r="E75" s="1">
        <v>2</v>
      </c>
      <c r="F75" s="1">
        <v>4</v>
      </c>
      <c r="G75" s="1">
        <v>3</v>
      </c>
      <c r="H75" s="1">
        <v>0</v>
      </c>
      <c r="I75" s="1">
        <v>9</v>
      </c>
      <c r="J75" s="1">
        <f>Raw_Data[[#This Row],[Quick Match]]+Raw_Data[[#This Row],[Manual Match]]</f>
        <v>6</v>
      </c>
    </row>
    <row r="76" spans="1:10" ht="17.25" customHeight="1" x14ac:dyDescent="0.25">
      <c r="A76" s="4" t="s">
        <v>13</v>
      </c>
      <c r="B76" s="1" t="s">
        <v>28</v>
      </c>
      <c r="C76" s="1" t="s">
        <v>25</v>
      </c>
      <c r="D76" s="1" t="s">
        <v>22</v>
      </c>
      <c r="E76" s="1">
        <v>0</v>
      </c>
      <c r="F76" s="1">
        <v>5</v>
      </c>
      <c r="G76" s="1">
        <v>9</v>
      </c>
      <c r="H76" s="1">
        <v>1</v>
      </c>
      <c r="I76" s="1">
        <v>15</v>
      </c>
      <c r="J76" s="1">
        <f>Raw_Data[[#This Row],[Quick Match]]+Raw_Data[[#This Row],[Manual Match]]</f>
        <v>5</v>
      </c>
    </row>
    <row r="77" spans="1:10" ht="17.25" customHeight="1" x14ac:dyDescent="0.25">
      <c r="A77" s="4" t="s">
        <v>13</v>
      </c>
      <c r="B77" s="1" t="s">
        <v>28</v>
      </c>
      <c r="C77" s="1" t="s">
        <v>25</v>
      </c>
      <c r="D77" s="1" t="s">
        <v>23</v>
      </c>
      <c r="E77" s="1">
        <v>0</v>
      </c>
      <c r="F77" s="1">
        <v>0</v>
      </c>
      <c r="G77" s="1">
        <v>3</v>
      </c>
      <c r="H77" s="1">
        <v>2</v>
      </c>
      <c r="I77" s="1">
        <v>5</v>
      </c>
      <c r="J77" s="1">
        <f>Raw_Data[[#This Row],[Quick Match]]+Raw_Data[[#This Row],[Manual Match]]</f>
        <v>0</v>
      </c>
    </row>
    <row r="78" spans="1:10" ht="17.25" customHeight="1" x14ac:dyDescent="0.25">
      <c r="A78" s="4" t="s">
        <v>13</v>
      </c>
      <c r="B78" s="1" t="s">
        <v>28</v>
      </c>
      <c r="C78" s="1" t="s">
        <v>25</v>
      </c>
      <c r="D78" s="1" t="s">
        <v>24</v>
      </c>
      <c r="E78" s="1">
        <v>0</v>
      </c>
      <c r="F78" s="1">
        <v>0</v>
      </c>
      <c r="G78" s="1">
        <v>0</v>
      </c>
      <c r="H78" s="1">
        <v>0</v>
      </c>
      <c r="I78" s="1">
        <v>0</v>
      </c>
      <c r="J78" s="1">
        <f>Raw_Data[[#This Row],[Quick Match]]+Raw_Data[[#This Row],[Manual Match]]</f>
        <v>0</v>
      </c>
    </row>
    <row r="79" spans="1:10" ht="17.25" customHeight="1" x14ac:dyDescent="0.25">
      <c r="A79" s="4" t="s">
        <v>13</v>
      </c>
      <c r="B79" s="1" t="s">
        <v>28</v>
      </c>
      <c r="C79" s="1" t="s">
        <v>15</v>
      </c>
      <c r="D79" s="1" t="s">
        <v>18</v>
      </c>
      <c r="E79" s="1">
        <v>4</v>
      </c>
      <c r="F79" s="1">
        <v>0</v>
      </c>
      <c r="G79" s="1">
        <v>0</v>
      </c>
      <c r="H79" s="1">
        <v>0</v>
      </c>
      <c r="I79" s="1">
        <v>4</v>
      </c>
      <c r="J79" s="1">
        <f>Raw_Data[[#This Row],[Quick Match]]+Raw_Data[[#This Row],[Manual Match]]</f>
        <v>4</v>
      </c>
    </row>
    <row r="80" spans="1:10" ht="17.25" customHeight="1" x14ac:dyDescent="0.25">
      <c r="A80" s="4" t="s">
        <v>13</v>
      </c>
      <c r="B80" s="1" t="s">
        <v>28</v>
      </c>
      <c r="C80" s="1" t="s">
        <v>15</v>
      </c>
      <c r="D80" s="1" t="s">
        <v>19</v>
      </c>
      <c r="E80" s="1">
        <v>3</v>
      </c>
      <c r="F80" s="1">
        <v>0</v>
      </c>
      <c r="G80" s="1">
        <v>0</v>
      </c>
      <c r="H80" s="1">
        <v>1</v>
      </c>
      <c r="I80" s="1">
        <v>4</v>
      </c>
      <c r="J80" s="1">
        <f>Raw_Data[[#This Row],[Quick Match]]+Raw_Data[[#This Row],[Manual Match]]</f>
        <v>3</v>
      </c>
    </row>
    <row r="81" spans="1:10" ht="17.25" customHeight="1" x14ac:dyDescent="0.25">
      <c r="A81" s="4" t="s">
        <v>13</v>
      </c>
      <c r="B81" s="1" t="s">
        <v>28</v>
      </c>
      <c r="C81" s="1" t="s">
        <v>15</v>
      </c>
      <c r="D81" s="1" t="s">
        <v>20</v>
      </c>
      <c r="E81" s="1">
        <v>1</v>
      </c>
      <c r="F81" s="1">
        <v>2</v>
      </c>
      <c r="G81" s="1">
        <v>0</v>
      </c>
      <c r="H81" s="1">
        <v>3</v>
      </c>
      <c r="I81" s="1">
        <v>6</v>
      </c>
      <c r="J81" s="1">
        <f>Raw_Data[[#This Row],[Quick Match]]+Raw_Data[[#This Row],[Manual Match]]</f>
        <v>3</v>
      </c>
    </row>
    <row r="82" spans="1:10" ht="17.25" customHeight="1" x14ac:dyDescent="0.25">
      <c r="A82" s="4" t="s">
        <v>13</v>
      </c>
      <c r="B82" s="1" t="s">
        <v>28</v>
      </c>
      <c r="C82" s="1" t="s">
        <v>15</v>
      </c>
      <c r="D82" s="1" t="s">
        <v>21</v>
      </c>
      <c r="E82" s="1">
        <v>1</v>
      </c>
      <c r="F82" s="1">
        <v>1</v>
      </c>
      <c r="G82" s="1">
        <v>1</v>
      </c>
      <c r="H82" s="1">
        <v>2</v>
      </c>
      <c r="I82" s="1">
        <v>5</v>
      </c>
      <c r="J82" s="1">
        <f>Raw_Data[[#This Row],[Quick Match]]+Raw_Data[[#This Row],[Manual Match]]</f>
        <v>2</v>
      </c>
    </row>
    <row r="83" spans="1:10" ht="17.25" customHeight="1" x14ac:dyDescent="0.25">
      <c r="A83" s="4" t="s">
        <v>13</v>
      </c>
      <c r="B83" s="1" t="s">
        <v>28</v>
      </c>
      <c r="C83" s="1" t="s">
        <v>15</v>
      </c>
      <c r="D83" s="1" t="s">
        <v>22</v>
      </c>
      <c r="E83" s="1">
        <v>2</v>
      </c>
      <c r="F83" s="1">
        <v>5</v>
      </c>
      <c r="G83" s="1">
        <v>2</v>
      </c>
      <c r="H83" s="1">
        <v>1</v>
      </c>
      <c r="I83" s="1">
        <v>10</v>
      </c>
      <c r="J83" s="1">
        <f>Raw_Data[[#This Row],[Quick Match]]+Raw_Data[[#This Row],[Manual Match]]</f>
        <v>7</v>
      </c>
    </row>
    <row r="84" spans="1:10" ht="17.25" customHeight="1" x14ac:dyDescent="0.25">
      <c r="A84" s="4" t="s">
        <v>13</v>
      </c>
      <c r="B84" s="1" t="s">
        <v>28</v>
      </c>
      <c r="C84" s="1" t="s">
        <v>15</v>
      </c>
      <c r="D84" s="1" t="s">
        <v>23</v>
      </c>
      <c r="E84" s="1">
        <v>0</v>
      </c>
      <c r="F84" s="1">
        <v>4</v>
      </c>
      <c r="G84" s="1">
        <v>0</v>
      </c>
      <c r="H84" s="1">
        <v>1</v>
      </c>
      <c r="I84" s="1">
        <v>5</v>
      </c>
      <c r="J84" s="1">
        <f>Raw_Data[[#This Row],[Quick Match]]+Raw_Data[[#This Row],[Manual Match]]</f>
        <v>4</v>
      </c>
    </row>
    <row r="85" spans="1:10" ht="17.25" customHeight="1" x14ac:dyDescent="0.25">
      <c r="A85" s="4" t="s">
        <v>13</v>
      </c>
      <c r="B85" s="1" t="s">
        <v>28</v>
      </c>
      <c r="C85" s="1" t="s">
        <v>15</v>
      </c>
      <c r="D85" s="1" t="s">
        <v>24</v>
      </c>
      <c r="E85" s="1">
        <v>0</v>
      </c>
      <c r="F85" s="1">
        <v>0</v>
      </c>
      <c r="G85" s="1">
        <v>0</v>
      </c>
      <c r="H85" s="1">
        <v>0</v>
      </c>
      <c r="I85" s="1">
        <v>0</v>
      </c>
      <c r="J85" s="1">
        <f>Raw_Data[[#This Row],[Quick Match]]+Raw_Data[[#This Row],[Manual Match]]</f>
        <v>0</v>
      </c>
    </row>
    <row r="86" spans="1:10" ht="17.25" customHeight="1" x14ac:dyDescent="0.25">
      <c r="A86" s="4" t="s">
        <v>13</v>
      </c>
      <c r="B86" s="1" t="s">
        <v>29</v>
      </c>
      <c r="C86" s="1" t="s">
        <v>14</v>
      </c>
      <c r="D86" s="1" t="s">
        <v>18</v>
      </c>
      <c r="E86" s="1">
        <v>8</v>
      </c>
      <c r="F86" s="1">
        <v>1</v>
      </c>
      <c r="G86" s="1">
        <v>0</v>
      </c>
      <c r="H86" s="1">
        <v>0</v>
      </c>
      <c r="I86" s="1">
        <v>9</v>
      </c>
      <c r="J86" s="1">
        <f>Raw_Data[[#This Row],[Quick Match]]+Raw_Data[[#This Row],[Manual Match]]</f>
        <v>9</v>
      </c>
    </row>
    <row r="87" spans="1:10" ht="17.25" customHeight="1" x14ac:dyDescent="0.25">
      <c r="A87" s="4" t="s">
        <v>13</v>
      </c>
      <c r="B87" s="1" t="s">
        <v>29</v>
      </c>
      <c r="C87" s="1" t="s">
        <v>14</v>
      </c>
      <c r="D87" s="1" t="s">
        <v>19</v>
      </c>
      <c r="E87" s="1">
        <v>5</v>
      </c>
      <c r="F87" s="1">
        <v>1</v>
      </c>
      <c r="G87" s="1">
        <v>0</v>
      </c>
      <c r="H87" s="1">
        <v>1</v>
      </c>
      <c r="I87" s="1">
        <v>7</v>
      </c>
      <c r="J87" s="1">
        <f>Raw_Data[[#This Row],[Quick Match]]+Raw_Data[[#This Row],[Manual Match]]</f>
        <v>6</v>
      </c>
    </row>
    <row r="88" spans="1:10" ht="17.25" customHeight="1" x14ac:dyDescent="0.25">
      <c r="A88" s="4" t="s">
        <v>13</v>
      </c>
      <c r="B88" s="1" t="s">
        <v>29</v>
      </c>
      <c r="C88" s="1" t="s">
        <v>14</v>
      </c>
      <c r="D88" s="1" t="s">
        <v>20</v>
      </c>
      <c r="E88" s="1">
        <v>1</v>
      </c>
      <c r="F88" s="1">
        <v>2</v>
      </c>
      <c r="G88" s="1">
        <v>0</v>
      </c>
      <c r="H88" s="1">
        <v>0</v>
      </c>
      <c r="I88" s="1">
        <v>3</v>
      </c>
      <c r="J88" s="1">
        <f>Raw_Data[[#This Row],[Quick Match]]+Raw_Data[[#This Row],[Manual Match]]</f>
        <v>3</v>
      </c>
    </row>
    <row r="89" spans="1:10" ht="17.25" customHeight="1" x14ac:dyDescent="0.25">
      <c r="A89" s="4" t="s">
        <v>13</v>
      </c>
      <c r="B89" s="1" t="s">
        <v>29</v>
      </c>
      <c r="C89" s="1" t="s">
        <v>14</v>
      </c>
      <c r="D89" s="1" t="s">
        <v>21</v>
      </c>
      <c r="E89" s="1">
        <v>1</v>
      </c>
      <c r="F89" s="1">
        <v>4</v>
      </c>
      <c r="G89" s="1">
        <v>0</v>
      </c>
      <c r="H89" s="1">
        <v>0</v>
      </c>
      <c r="I89" s="1">
        <v>5</v>
      </c>
      <c r="J89" s="1">
        <f>Raw_Data[[#This Row],[Quick Match]]+Raw_Data[[#This Row],[Manual Match]]</f>
        <v>5</v>
      </c>
    </row>
    <row r="90" spans="1:10" ht="17.25" customHeight="1" x14ac:dyDescent="0.25">
      <c r="A90" s="4" t="s">
        <v>13</v>
      </c>
      <c r="B90" s="1" t="s">
        <v>29</v>
      </c>
      <c r="C90" s="1" t="s">
        <v>14</v>
      </c>
      <c r="D90" s="1" t="s">
        <v>22</v>
      </c>
      <c r="E90" s="1">
        <v>1</v>
      </c>
      <c r="F90" s="1">
        <v>11</v>
      </c>
      <c r="G90" s="1">
        <v>1</v>
      </c>
      <c r="H90" s="1">
        <v>4</v>
      </c>
      <c r="I90" s="1">
        <v>17</v>
      </c>
      <c r="J90" s="1">
        <f>Raw_Data[[#This Row],[Quick Match]]+Raw_Data[[#This Row],[Manual Match]]</f>
        <v>12</v>
      </c>
    </row>
    <row r="91" spans="1:10" ht="17.25" customHeight="1" x14ac:dyDescent="0.25">
      <c r="A91" s="4" t="s">
        <v>13</v>
      </c>
      <c r="B91" s="1" t="s">
        <v>29</v>
      </c>
      <c r="C91" s="1" t="s">
        <v>14</v>
      </c>
      <c r="D91" s="1" t="s">
        <v>23</v>
      </c>
      <c r="E91" s="1">
        <v>0</v>
      </c>
      <c r="F91" s="1">
        <v>7</v>
      </c>
      <c r="G91" s="1">
        <v>3</v>
      </c>
      <c r="H91" s="1">
        <v>1</v>
      </c>
      <c r="I91" s="1">
        <v>11</v>
      </c>
      <c r="J91" s="1">
        <f>Raw_Data[[#This Row],[Quick Match]]+Raw_Data[[#This Row],[Manual Match]]</f>
        <v>7</v>
      </c>
    </row>
    <row r="92" spans="1:10" ht="17.25" customHeight="1" x14ac:dyDescent="0.25">
      <c r="A92" s="4" t="s">
        <v>13</v>
      </c>
      <c r="B92" s="1" t="s">
        <v>29</v>
      </c>
      <c r="C92" s="1" t="s">
        <v>14</v>
      </c>
      <c r="D92" s="1" t="s">
        <v>24</v>
      </c>
      <c r="E92" s="1">
        <v>0</v>
      </c>
      <c r="F92" s="1">
        <v>0</v>
      </c>
      <c r="G92" s="1">
        <v>1</v>
      </c>
      <c r="H92" s="1">
        <v>0</v>
      </c>
      <c r="I92" s="1">
        <v>1</v>
      </c>
      <c r="J92" s="1">
        <f>Raw_Data[[#This Row],[Quick Match]]+Raw_Data[[#This Row],[Manual Match]]</f>
        <v>0</v>
      </c>
    </row>
    <row r="93" spans="1:10" ht="17.25" customHeight="1" x14ac:dyDescent="0.25">
      <c r="A93" s="4" t="s">
        <v>13</v>
      </c>
      <c r="B93" s="1" t="s">
        <v>29</v>
      </c>
      <c r="C93" s="1" t="s">
        <v>25</v>
      </c>
      <c r="D93" s="1" t="s">
        <v>18</v>
      </c>
      <c r="E93" s="1">
        <v>19</v>
      </c>
      <c r="F93" s="1">
        <v>2</v>
      </c>
      <c r="G93" s="1">
        <v>0</v>
      </c>
      <c r="H93" s="1">
        <v>0</v>
      </c>
      <c r="I93" s="1">
        <v>21</v>
      </c>
      <c r="J93" s="1">
        <f>Raw_Data[[#This Row],[Quick Match]]+Raw_Data[[#This Row],[Manual Match]]</f>
        <v>21</v>
      </c>
    </row>
    <row r="94" spans="1:10" ht="17.25" customHeight="1" x14ac:dyDescent="0.25">
      <c r="A94" s="4" t="s">
        <v>13</v>
      </c>
      <c r="B94" s="1" t="s">
        <v>29</v>
      </c>
      <c r="C94" s="1" t="s">
        <v>25</v>
      </c>
      <c r="D94" s="1" t="s">
        <v>19</v>
      </c>
      <c r="E94" s="1">
        <v>5</v>
      </c>
      <c r="F94" s="1">
        <v>0</v>
      </c>
      <c r="G94" s="1">
        <v>1</v>
      </c>
      <c r="H94" s="1">
        <v>0</v>
      </c>
      <c r="I94" s="1">
        <v>6</v>
      </c>
      <c r="J94" s="1">
        <f>Raw_Data[[#This Row],[Quick Match]]+Raw_Data[[#This Row],[Manual Match]]</f>
        <v>5</v>
      </c>
    </row>
    <row r="95" spans="1:10" ht="17.25" customHeight="1" x14ac:dyDescent="0.25">
      <c r="A95" s="4" t="s">
        <v>13</v>
      </c>
      <c r="B95" s="1" t="s">
        <v>29</v>
      </c>
      <c r="C95" s="1" t="s">
        <v>25</v>
      </c>
      <c r="D95" s="1" t="s">
        <v>20</v>
      </c>
      <c r="E95" s="1">
        <v>3</v>
      </c>
      <c r="F95" s="1">
        <v>4</v>
      </c>
      <c r="G95" s="1">
        <v>0</v>
      </c>
      <c r="H95" s="1">
        <v>0</v>
      </c>
      <c r="I95" s="1">
        <v>7</v>
      </c>
      <c r="J95" s="1">
        <f>Raw_Data[[#This Row],[Quick Match]]+Raw_Data[[#This Row],[Manual Match]]</f>
        <v>7</v>
      </c>
    </row>
    <row r="96" spans="1:10" ht="17.25" customHeight="1" x14ac:dyDescent="0.25">
      <c r="A96" s="4" t="s">
        <v>13</v>
      </c>
      <c r="B96" s="1" t="s">
        <v>29</v>
      </c>
      <c r="C96" s="1" t="s">
        <v>25</v>
      </c>
      <c r="D96" s="1" t="s">
        <v>21</v>
      </c>
      <c r="E96" s="1">
        <v>5</v>
      </c>
      <c r="F96" s="1">
        <v>4</v>
      </c>
      <c r="G96" s="1">
        <v>7</v>
      </c>
      <c r="H96" s="1">
        <v>1</v>
      </c>
      <c r="I96" s="1">
        <v>17</v>
      </c>
      <c r="J96" s="1">
        <f>Raw_Data[[#This Row],[Quick Match]]+Raw_Data[[#This Row],[Manual Match]]</f>
        <v>9</v>
      </c>
    </row>
    <row r="97" spans="1:10" ht="17.25" customHeight="1" x14ac:dyDescent="0.25">
      <c r="A97" s="4" t="s">
        <v>13</v>
      </c>
      <c r="B97" s="1" t="s">
        <v>29</v>
      </c>
      <c r="C97" s="1" t="s">
        <v>25</v>
      </c>
      <c r="D97" s="1" t="s">
        <v>22</v>
      </c>
      <c r="E97" s="1">
        <v>2</v>
      </c>
      <c r="F97" s="1">
        <v>19</v>
      </c>
      <c r="G97" s="1">
        <v>10</v>
      </c>
      <c r="H97" s="1">
        <v>2</v>
      </c>
      <c r="I97" s="1">
        <v>33</v>
      </c>
      <c r="J97" s="1">
        <f>Raw_Data[[#This Row],[Quick Match]]+Raw_Data[[#This Row],[Manual Match]]</f>
        <v>21</v>
      </c>
    </row>
    <row r="98" spans="1:10" ht="17.25" customHeight="1" x14ac:dyDescent="0.25">
      <c r="A98" s="4" t="s">
        <v>13</v>
      </c>
      <c r="B98" s="1" t="s">
        <v>29</v>
      </c>
      <c r="C98" s="1" t="s">
        <v>25</v>
      </c>
      <c r="D98" s="1" t="s">
        <v>23</v>
      </c>
      <c r="E98" s="1">
        <v>0</v>
      </c>
      <c r="F98" s="1">
        <v>8</v>
      </c>
      <c r="G98" s="1">
        <v>6</v>
      </c>
      <c r="H98" s="1">
        <v>3</v>
      </c>
      <c r="I98" s="1">
        <v>17</v>
      </c>
      <c r="J98" s="1">
        <f>Raw_Data[[#This Row],[Quick Match]]+Raw_Data[[#This Row],[Manual Match]]</f>
        <v>8</v>
      </c>
    </row>
    <row r="99" spans="1:10" ht="17.25" customHeight="1" x14ac:dyDescent="0.25">
      <c r="A99" s="4" t="s">
        <v>13</v>
      </c>
      <c r="B99" s="1" t="s">
        <v>29</v>
      </c>
      <c r="C99" s="1" t="s">
        <v>25</v>
      </c>
      <c r="D99" s="1" t="s">
        <v>24</v>
      </c>
      <c r="E99" s="1">
        <v>0</v>
      </c>
      <c r="F99" s="1">
        <v>2</v>
      </c>
      <c r="G99" s="1">
        <v>1</v>
      </c>
      <c r="H99" s="1">
        <v>0</v>
      </c>
      <c r="I99" s="1">
        <v>3</v>
      </c>
      <c r="J99" s="1">
        <f>Raw_Data[[#This Row],[Quick Match]]+Raw_Data[[#This Row],[Manual Match]]</f>
        <v>2</v>
      </c>
    </row>
    <row r="100" spans="1:10" ht="17.25" customHeight="1" x14ac:dyDescent="0.25">
      <c r="A100" s="4" t="s">
        <v>13</v>
      </c>
      <c r="B100" s="1" t="s">
        <v>29</v>
      </c>
      <c r="C100" s="1" t="s">
        <v>15</v>
      </c>
      <c r="D100" s="1" t="s">
        <v>18</v>
      </c>
      <c r="E100" s="1">
        <v>3</v>
      </c>
      <c r="F100" s="1">
        <v>1</v>
      </c>
      <c r="G100" s="1">
        <v>0</v>
      </c>
      <c r="H100" s="1">
        <v>0</v>
      </c>
      <c r="I100" s="1">
        <v>4</v>
      </c>
      <c r="J100" s="1">
        <f>Raw_Data[[#This Row],[Quick Match]]+Raw_Data[[#This Row],[Manual Match]]</f>
        <v>4</v>
      </c>
    </row>
    <row r="101" spans="1:10" ht="17.25" customHeight="1" x14ac:dyDescent="0.25">
      <c r="A101" s="4" t="s">
        <v>13</v>
      </c>
      <c r="B101" s="1" t="s">
        <v>29</v>
      </c>
      <c r="C101" s="1" t="s">
        <v>15</v>
      </c>
      <c r="D101" s="1" t="s">
        <v>19</v>
      </c>
      <c r="E101" s="1">
        <v>2</v>
      </c>
      <c r="F101" s="1">
        <v>0</v>
      </c>
      <c r="G101" s="1">
        <v>0</v>
      </c>
      <c r="H101" s="1">
        <v>0</v>
      </c>
      <c r="I101" s="1">
        <v>2</v>
      </c>
      <c r="J101" s="1">
        <f>Raw_Data[[#This Row],[Quick Match]]+Raw_Data[[#This Row],[Manual Match]]</f>
        <v>2</v>
      </c>
    </row>
    <row r="102" spans="1:10" ht="17.25" customHeight="1" x14ac:dyDescent="0.25">
      <c r="A102" s="4" t="s">
        <v>13</v>
      </c>
      <c r="B102" s="1" t="s">
        <v>29</v>
      </c>
      <c r="C102" s="1" t="s">
        <v>15</v>
      </c>
      <c r="D102" s="1" t="s">
        <v>20</v>
      </c>
      <c r="E102" s="1">
        <v>4</v>
      </c>
      <c r="F102" s="1">
        <v>2</v>
      </c>
      <c r="G102" s="1">
        <v>0</v>
      </c>
      <c r="H102" s="1">
        <v>0</v>
      </c>
      <c r="I102" s="1">
        <v>6</v>
      </c>
      <c r="J102" s="1">
        <f>Raw_Data[[#This Row],[Quick Match]]+Raw_Data[[#This Row],[Manual Match]]</f>
        <v>6</v>
      </c>
    </row>
    <row r="103" spans="1:10" ht="17.25" customHeight="1" x14ac:dyDescent="0.25">
      <c r="A103" s="4" t="s">
        <v>13</v>
      </c>
      <c r="B103" s="1" t="s">
        <v>29</v>
      </c>
      <c r="C103" s="1" t="s">
        <v>15</v>
      </c>
      <c r="D103" s="1" t="s">
        <v>21</v>
      </c>
      <c r="E103" s="1">
        <v>0</v>
      </c>
      <c r="F103" s="1">
        <v>3</v>
      </c>
      <c r="G103" s="1">
        <v>0</v>
      </c>
      <c r="H103" s="1">
        <v>0</v>
      </c>
      <c r="I103" s="1">
        <v>3</v>
      </c>
      <c r="J103" s="1">
        <f>Raw_Data[[#This Row],[Quick Match]]+Raw_Data[[#This Row],[Manual Match]]</f>
        <v>3</v>
      </c>
    </row>
    <row r="104" spans="1:10" ht="17.25" customHeight="1" x14ac:dyDescent="0.25">
      <c r="A104" s="4" t="s">
        <v>13</v>
      </c>
      <c r="B104" s="1" t="s">
        <v>29</v>
      </c>
      <c r="C104" s="1" t="s">
        <v>15</v>
      </c>
      <c r="D104" s="1" t="s">
        <v>22</v>
      </c>
      <c r="E104" s="1">
        <v>1</v>
      </c>
      <c r="F104" s="1">
        <v>3</v>
      </c>
      <c r="G104" s="1">
        <v>4</v>
      </c>
      <c r="H104" s="1">
        <v>5</v>
      </c>
      <c r="I104" s="1">
        <v>13</v>
      </c>
      <c r="J104" s="1">
        <f>Raw_Data[[#This Row],[Quick Match]]+Raw_Data[[#This Row],[Manual Match]]</f>
        <v>4</v>
      </c>
    </row>
    <row r="105" spans="1:10" ht="17.25" customHeight="1" x14ac:dyDescent="0.25">
      <c r="A105" s="4" t="s">
        <v>13</v>
      </c>
      <c r="B105" s="1" t="s">
        <v>29</v>
      </c>
      <c r="C105" s="1" t="s">
        <v>15</v>
      </c>
      <c r="D105" s="1" t="s">
        <v>23</v>
      </c>
      <c r="E105" s="1">
        <v>0</v>
      </c>
      <c r="F105" s="1">
        <v>2</v>
      </c>
      <c r="G105" s="1">
        <v>2</v>
      </c>
      <c r="H105" s="1">
        <v>1</v>
      </c>
      <c r="I105" s="1">
        <v>5</v>
      </c>
      <c r="J105" s="1">
        <f>Raw_Data[[#This Row],[Quick Match]]+Raw_Data[[#This Row],[Manual Match]]</f>
        <v>2</v>
      </c>
    </row>
    <row r="106" spans="1:10" ht="17.25" customHeight="1" x14ac:dyDescent="0.25">
      <c r="A106" s="4" t="s">
        <v>13</v>
      </c>
      <c r="B106" s="1" t="s">
        <v>29</v>
      </c>
      <c r="C106" s="1" t="s">
        <v>15</v>
      </c>
      <c r="D106" s="1" t="s">
        <v>24</v>
      </c>
      <c r="E106" s="1">
        <v>0</v>
      </c>
      <c r="F106" s="1">
        <v>0</v>
      </c>
      <c r="G106" s="1">
        <v>0</v>
      </c>
      <c r="H106" s="1">
        <v>0</v>
      </c>
      <c r="I106" s="1">
        <v>0</v>
      </c>
      <c r="J106" s="1">
        <f>Raw_Data[[#This Row],[Quick Match]]+Raw_Data[[#This Row],[Manual Match]]</f>
        <v>0</v>
      </c>
    </row>
    <row r="107" spans="1:10" ht="17.25" customHeight="1" x14ac:dyDescent="0.25">
      <c r="A107" s="4" t="s">
        <v>13</v>
      </c>
      <c r="B107" s="1" t="s">
        <v>30</v>
      </c>
      <c r="C107" s="1" t="s">
        <v>14</v>
      </c>
      <c r="D107" s="1" t="s">
        <v>18</v>
      </c>
      <c r="E107" s="1">
        <v>2</v>
      </c>
      <c r="F107" s="1">
        <v>0</v>
      </c>
      <c r="G107" s="1">
        <v>0</v>
      </c>
      <c r="H107" s="1">
        <v>0</v>
      </c>
      <c r="I107" s="1">
        <v>2</v>
      </c>
      <c r="J107" s="1">
        <f>Raw_Data[[#This Row],[Quick Match]]+Raw_Data[[#This Row],[Manual Match]]</f>
        <v>2</v>
      </c>
    </row>
    <row r="108" spans="1:10" ht="17.25" customHeight="1" x14ac:dyDescent="0.25">
      <c r="A108" s="4" t="s">
        <v>13</v>
      </c>
      <c r="B108" s="1" t="s">
        <v>30</v>
      </c>
      <c r="C108" s="1" t="s">
        <v>14</v>
      </c>
      <c r="D108" s="1" t="s">
        <v>19</v>
      </c>
      <c r="E108" s="1">
        <v>0</v>
      </c>
      <c r="F108" s="1">
        <v>0</v>
      </c>
      <c r="G108" s="1">
        <v>0</v>
      </c>
      <c r="H108" s="1">
        <v>0</v>
      </c>
      <c r="I108" s="1">
        <v>0</v>
      </c>
      <c r="J108" s="1">
        <f>Raw_Data[[#This Row],[Quick Match]]+Raw_Data[[#This Row],[Manual Match]]</f>
        <v>0</v>
      </c>
    </row>
    <row r="109" spans="1:10" ht="17.25" customHeight="1" x14ac:dyDescent="0.25">
      <c r="A109" s="4" t="s">
        <v>13</v>
      </c>
      <c r="B109" s="1" t="s">
        <v>30</v>
      </c>
      <c r="C109" s="1" t="s">
        <v>14</v>
      </c>
      <c r="D109" s="1" t="s">
        <v>20</v>
      </c>
      <c r="E109" s="1">
        <v>0</v>
      </c>
      <c r="F109" s="1">
        <v>0</v>
      </c>
      <c r="G109" s="1">
        <v>0</v>
      </c>
      <c r="H109" s="1">
        <v>0</v>
      </c>
      <c r="I109" s="1">
        <v>0</v>
      </c>
      <c r="J109" s="1">
        <f>Raw_Data[[#This Row],[Quick Match]]+Raw_Data[[#This Row],[Manual Match]]</f>
        <v>0</v>
      </c>
    </row>
    <row r="110" spans="1:10" ht="17.25" customHeight="1" x14ac:dyDescent="0.25">
      <c r="A110" s="4" t="s">
        <v>13</v>
      </c>
      <c r="B110" s="1" t="s">
        <v>30</v>
      </c>
      <c r="C110" s="1" t="s">
        <v>14</v>
      </c>
      <c r="D110" s="1" t="s">
        <v>21</v>
      </c>
      <c r="E110" s="1">
        <v>0</v>
      </c>
      <c r="F110" s="1">
        <v>1</v>
      </c>
      <c r="G110" s="1">
        <v>0</v>
      </c>
      <c r="H110" s="1">
        <v>0</v>
      </c>
      <c r="I110" s="1">
        <v>1</v>
      </c>
      <c r="J110" s="1">
        <f>Raw_Data[[#This Row],[Quick Match]]+Raw_Data[[#This Row],[Manual Match]]</f>
        <v>1</v>
      </c>
    </row>
    <row r="111" spans="1:10" ht="17.25" customHeight="1" x14ac:dyDescent="0.25">
      <c r="A111" s="4" t="s">
        <v>13</v>
      </c>
      <c r="B111" s="1" t="s">
        <v>30</v>
      </c>
      <c r="C111" s="1" t="s">
        <v>14</v>
      </c>
      <c r="D111" s="1" t="s">
        <v>22</v>
      </c>
      <c r="E111" s="1">
        <v>0</v>
      </c>
      <c r="F111" s="1">
        <v>1</v>
      </c>
      <c r="G111" s="1">
        <v>0</v>
      </c>
      <c r="H111" s="1">
        <v>1</v>
      </c>
      <c r="I111" s="1">
        <v>2</v>
      </c>
      <c r="J111" s="1">
        <f>Raw_Data[[#This Row],[Quick Match]]+Raw_Data[[#This Row],[Manual Match]]</f>
        <v>1</v>
      </c>
    </row>
    <row r="112" spans="1:10" ht="17.25" customHeight="1" x14ac:dyDescent="0.25">
      <c r="A112" s="4" t="s">
        <v>13</v>
      </c>
      <c r="B112" s="1" t="s">
        <v>30</v>
      </c>
      <c r="C112" s="1" t="s">
        <v>14</v>
      </c>
      <c r="D112" s="1" t="s">
        <v>23</v>
      </c>
      <c r="E112" s="1">
        <v>0</v>
      </c>
      <c r="F112" s="1">
        <v>1</v>
      </c>
      <c r="G112" s="1">
        <v>0</v>
      </c>
      <c r="H112" s="1">
        <v>0</v>
      </c>
      <c r="I112" s="1">
        <v>1</v>
      </c>
      <c r="J112" s="1">
        <f>Raw_Data[[#This Row],[Quick Match]]+Raw_Data[[#This Row],[Manual Match]]</f>
        <v>1</v>
      </c>
    </row>
    <row r="113" spans="1:10" ht="17.25" customHeight="1" x14ac:dyDescent="0.25">
      <c r="A113" s="4" t="s">
        <v>13</v>
      </c>
      <c r="B113" s="1" t="s">
        <v>30</v>
      </c>
      <c r="C113" s="1" t="s">
        <v>14</v>
      </c>
      <c r="D113" s="1" t="s">
        <v>24</v>
      </c>
      <c r="E113" s="1">
        <v>0</v>
      </c>
      <c r="F113" s="1">
        <v>0</v>
      </c>
      <c r="G113" s="1">
        <v>0</v>
      </c>
      <c r="H113" s="1">
        <v>0</v>
      </c>
      <c r="I113" s="1">
        <v>0</v>
      </c>
      <c r="J113" s="1">
        <f>Raw_Data[[#This Row],[Quick Match]]+Raw_Data[[#This Row],[Manual Match]]</f>
        <v>0</v>
      </c>
    </row>
    <row r="114" spans="1:10" ht="17.25" customHeight="1" x14ac:dyDescent="0.25">
      <c r="A114" s="4" t="s">
        <v>13</v>
      </c>
      <c r="B114" s="1" t="s">
        <v>30</v>
      </c>
      <c r="C114" s="1" t="s">
        <v>25</v>
      </c>
      <c r="D114" s="1" t="s">
        <v>18</v>
      </c>
      <c r="E114" s="1">
        <v>1</v>
      </c>
      <c r="F114" s="1">
        <v>2</v>
      </c>
      <c r="G114" s="1">
        <v>0</v>
      </c>
      <c r="H114" s="1">
        <v>0</v>
      </c>
      <c r="I114" s="1">
        <v>3</v>
      </c>
      <c r="J114" s="1">
        <f>Raw_Data[[#This Row],[Quick Match]]+Raw_Data[[#This Row],[Manual Match]]</f>
        <v>3</v>
      </c>
    </row>
    <row r="115" spans="1:10" ht="17.25" customHeight="1" x14ac:dyDescent="0.25">
      <c r="A115" s="4" t="s">
        <v>13</v>
      </c>
      <c r="B115" s="1" t="s">
        <v>30</v>
      </c>
      <c r="C115" s="1" t="s">
        <v>25</v>
      </c>
      <c r="D115" s="1" t="s">
        <v>19</v>
      </c>
      <c r="E115" s="1">
        <v>0</v>
      </c>
      <c r="F115" s="1">
        <v>0</v>
      </c>
      <c r="G115" s="1">
        <v>0</v>
      </c>
      <c r="H115" s="1">
        <v>0</v>
      </c>
      <c r="I115" s="1">
        <v>0</v>
      </c>
      <c r="J115" s="1">
        <f>Raw_Data[[#This Row],[Quick Match]]+Raw_Data[[#This Row],[Manual Match]]</f>
        <v>0</v>
      </c>
    </row>
    <row r="116" spans="1:10" ht="17.25" customHeight="1" x14ac:dyDescent="0.25">
      <c r="A116" s="4" t="s">
        <v>13</v>
      </c>
      <c r="B116" s="1" t="s">
        <v>30</v>
      </c>
      <c r="C116" s="1" t="s">
        <v>25</v>
      </c>
      <c r="D116" s="1" t="s">
        <v>20</v>
      </c>
      <c r="E116" s="1">
        <v>0</v>
      </c>
      <c r="F116" s="1">
        <v>0</v>
      </c>
      <c r="G116" s="1">
        <v>0</v>
      </c>
      <c r="H116" s="1">
        <v>0</v>
      </c>
      <c r="I116" s="1">
        <v>0</v>
      </c>
      <c r="J116" s="1">
        <f>Raw_Data[[#This Row],[Quick Match]]+Raw_Data[[#This Row],[Manual Match]]</f>
        <v>0</v>
      </c>
    </row>
    <row r="117" spans="1:10" ht="17.25" customHeight="1" x14ac:dyDescent="0.25">
      <c r="A117" s="4" t="s">
        <v>13</v>
      </c>
      <c r="B117" s="1" t="s">
        <v>30</v>
      </c>
      <c r="C117" s="1" t="s">
        <v>25</v>
      </c>
      <c r="D117" s="1" t="s">
        <v>21</v>
      </c>
      <c r="E117" s="1">
        <v>0</v>
      </c>
      <c r="F117" s="1">
        <v>0</v>
      </c>
      <c r="G117" s="1">
        <v>2</v>
      </c>
      <c r="H117" s="1">
        <v>1</v>
      </c>
      <c r="I117" s="1">
        <v>3</v>
      </c>
      <c r="J117" s="1">
        <f>Raw_Data[[#This Row],[Quick Match]]+Raw_Data[[#This Row],[Manual Match]]</f>
        <v>0</v>
      </c>
    </row>
    <row r="118" spans="1:10" ht="17.25" customHeight="1" x14ac:dyDescent="0.25">
      <c r="A118" s="4" t="s">
        <v>13</v>
      </c>
      <c r="B118" s="1" t="s">
        <v>30</v>
      </c>
      <c r="C118" s="1" t="s">
        <v>25</v>
      </c>
      <c r="D118" s="1" t="s">
        <v>22</v>
      </c>
      <c r="E118" s="1">
        <v>1</v>
      </c>
      <c r="F118" s="1">
        <v>0</v>
      </c>
      <c r="G118" s="1">
        <v>4</v>
      </c>
      <c r="H118" s="1">
        <v>0</v>
      </c>
      <c r="I118" s="1">
        <v>5</v>
      </c>
      <c r="J118" s="1">
        <f>Raw_Data[[#This Row],[Quick Match]]+Raw_Data[[#This Row],[Manual Match]]</f>
        <v>1</v>
      </c>
    </row>
    <row r="119" spans="1:10" ht="17.25" customHeight="1" x14ac:dyDescent="0.25">
      <c r="A119" s="4" t="s">
        <v>13</v>
      </c>
      <c r="B119" s="1" t="s">
        <v>30</v>
      </c>
      <c r="C119" s="1" t="s">
        <v>25</v>
      </c>
      <c r="D119" s="1" t="s">
        <v>23</v>
      </c>
      <c r="E119" s="1">
        <v>0</v>
      </c>
      <c r="F119" s="1">
        <v>1</v>
      </c>
      <c r="G119" s="1">
        <v>0</v>
      </c>
      <c r="H119" s="1">
        <v>0</v>
      </c>
      <c r="I119" s="1">
        <v>1</v>
      </c>
      <c r="J119" s="1">
        <f>Raw_Data[[#This Row],[Quick Match]]+Raw_Data[[#This Row],[Manual Match]]</f>
        <v>1</v>
      </c>
    </row>
    <row r="120" spans="1:10" ht="17.25" customHeight="1" x14ac:dyDescent="0.25">
      <c r="A120" s="4" t="s">
        <v>13</v>
      </c>
      <c r="B120" s="1" t="s">
        <v>30</v>
      </c>
      <c r="C120" s="1" t="s">
        <v>25</v>
      </c>
      <c r="D120" s="1" t="s">
        <v>24</v>
      </c>
      <c r="E120" s="1">
        <v>1</v>
      </c>
      <c r="F120" s="1">
        <v>0</v>
      </c>
      <c r="G120" s="1">
        <v>0</v>
      </c>
      <c r="H120" s="1">
        <v>0</v>
      </c>
      <c r="I120" s="1">
        <v>1</v>
      </c>
      <c r="J120" s="1">
        <f>Raw_Data[[#This Row],[Quick Match]]+Raw_Data[[#This Row],[Manual Match]]</f>
        <v>1</v>
      </c>
    </row>
    <row r="121" spans="1:10" ht="17.25" customHeight="1" x14ac:dyDescent="0.25">
      <c r="A121" s="4" t="s">
        <v>13</v>
      </c>
      <c r="B121" s="1" t="s">
        <v>30</v>
      </c>
      <c r="C121" s="1" t="s">
        <v>15</v>
      </c>
      <c r="D121" s="1" t="s">
        <v>18</v>
      </c>
      <c r="E121" s="1">
        <v>0</v>
      </c>
      <c r="F121" s="1">
        <v>0</v>
      </c>
      <c r="G121" s="1">
        <v>0</v>
      </c>
      <c r="H121" s="1">
        <v>0</v>
      </c>
      <c r="I121" s="1">
        <v>0</v>
      </c>
      <c r="J121" s="1">
        <f>Raw_Data[[#This Row],[Quick Match]]+Raw_Data[[#This Row],[Manual Match]]</f>
        <v>0</v>
      </c>
    </row>
    <row r="122" spans="1:10" ht="17.25" customHeight="1" x14ac:dyDescent="0.25">
      <c r="A122" s="4" t="s">
        <v>13</v>
      </c>
      <c r="B122" s="1" t="s">
        <v>30</v>
      </c>
      <c r="C122" s="1" t="s">
        <v>15</v>
      </c>
      <c r="D122" s="1" t="s">
        <v>19</v>
      </c>
      <c r="E122" s="1">
        <v>0</v>
      </c>
      <c r="F122" s="1">
        <v>1</v>
      </c>
      <c r="G122" s="1">
        <v>0</v>
      </c>
      <c r="H122" s="1">
        <v>0</v>
      </c>
      <c r="I122" s="1">
        <v>1</v>
      </c>
      <c r="J122" s="1">
        <f>Raw_Data[[#This Row],[Quick Match]]+Raw_Data[[#This Row],[Manual Match]]</f>
        <v>1</v>
      </c>
    </row>
    <row r="123" spans="1:10" ht="17.25" customHeight="1" x14ac:dyDescent="0.25">
      <c r="A123" s="4" t="s">
        <v>13</v>
      </c>
      <c r="B123" s="1" t="s">
        <v>30</v>
      </c>
      <c r="C123" s="1" t="s">
        <v>15</v>
      </c>
      <c r="D123" s="1" t="s">
        <v>20</v>
      </c>
      <c r="E123" s="1">
        <v>0</v>
      </c>
      <c r="F123" s="1">
        <v>0</v>
      </c>
      <c r="G123" s="1">
        <v>0</v>
      </c>
      <c r="H123" s="1">
        <v>0</v>
      </c>
      <c r="I123" s="1">
        <v>0</v>
      </c>
      <c r="J123" s="1">
        <f>Raw_Data[[#This Row],[Quick Match]]+Raw_Data[[#This Row],[Manual Match]]</f>
        <v>0</v>
      </c>
    </row>
    <row r="124" spans="1:10" ht="17.25" customHeight="1" x14ac:dyDescent="0.25">
      <c r="A124" s="4" t="s">
        <v>13</v>
      </c>
      <c r="B124" s="1" t="s">
        <v>30</v>
      </c>
      <c r="C124" s="1" t="s">
        <v>15</v>
      </c>
      <c r="D124" s="1" t="s">
        <v>21</v>
      </c>
      <c r="E124" s="1">
        <v>0</v>
      </c>
      <c r="F124" s="1">
        <v>0</v>
      </c>
      <c r="G124" s="1">
        <v>0</v>
      </c>
      <c r="H124" s="1">
        <v>0</v>
      </c>
      <c r="I124" s="1">
        <v>0</v>
      </c>
      <c r="J124" s="1">
        <f>Raw_Data[[#This Row],[Quick Match]]+Raw_Data[[#This Row],[Manual Match]]</f>
        <v>0</v>
      </c>
    </row>
    <row r="125" spans="1:10" ht="17.25" customHeight="1" x14ac:dyDescent="0.25">
      <c r="A125" s="4" t="s">
        <v>13</v>
      </c>
      <c r="B125" s="1" t="s">
        <v>30</v>
      </c>
      <c r="C125" s="1" t="s">
        <v>15</v>
      </c>
      <c r="D125" s="1" t="s">
        <v>22</v>
      </c>
      <c r="E125" s="1">
        <v>0</v>
      </c>
      <c r="F125" s="1">
        <v>0</v>
      </c>
      <c r="G125" s="1">
        <v>0</v>
      </c>
      <c r="H125" s="1">
        <v>0</v>
      </c>
      <c r="I125" s="1">
        <v>0</v>
      </c>
      <c r="J125" s="1">
        <f>Raw_Data[[#This Row],[Quick Match]]+Raw_Data[[#This Row],[Manual Match]]</f>
        <v>0</v>
      </c>
    </row>
    <row r="126" spans="1:10" ht="17.25" customHeight="1" x14ac:dyDescent="0.25">
      <c r="A126" s="4" t="s">
        <v>13</v>
      </c>
      <c r="B126" s="1" t="s">
        <v>30</v>
      </c>
      <c r="C126" s="1" t="s">
        <v>15</v>
      </c>
      <c r="D126" s="1" t="s">
        <v>23</v>
      </c>
      <c r="E126" s="1">
        <v>0</v>
      </c>
      <c r="F126" s="1">
        <v>1</v>
      </c>
      <c r="G126" s="1">
        <v>0</v>
      </c>
      <c r="H126" s="1">
        <v>0</v>
      </c>
      <c r="I126" s="1">
        <v>1</v>
      </c>
      <c r="J126" s="1">
        <f>Raw_Data[[#This Row],[Quick Match]]+Raw_Data[[#This Row],[Manual Match]]</f>
        <v>1</v>
      </c>
    </row>
    <row r="127" spans="1:10" ht="17.25" customHeight="1" x14ac:dyDescent="0.25">
      <c r="A127" s="4" t="s">
        <v>13</v>
      </c>
      <c r="B127" s="1" t="s">
        <v>30</v>
      </c>
      <c r="C127" s="1" t="s">
        <v>15</v>
      </c>
      <c r="D127" s="1" t="s">
        <v>24</v>
      </c>
      <c r="E127" s="1">
        <v>0</v>
      </c>
      <c r="F127" s="1">
        <v>0</v>
      </c>
      <c r="G127" s="1">
        <v>0</v>
      </c>
      <c r="H127" s="1">
        <v>0</v>
      </c>
      <c r="I127" s="1">
        <v>0</v>
      </c>
      <c r="J127" s="1">
        <f>Raw_Data[[#This Row],[Quick Match]]+Raw_Data[[#This Row],[Manual Match]]</f>
        <v>0</v>
      </c>
    </row>
    <row r="128" spans="1:10" ht="17.25" customHeight="1" x14ac:dyDescent="0.25">
      <c r="A128" s="4" t="s">
        <v>13</v>
      </c>
      <c r="B128" s="1" t="s">
        <v>31</v>
      </c>
      <c r="C128" s="1" t="s">
        <v>14</v>
      </c>
      <c r="D128" s="1" t="s">
        <v>18</v>
      </c>
      <c r="E128" s="1">
        <v>0</v>
      </c>
      <c r="F128" s="1">
        <v>0</v>
      </c>
      <c r="G128" s="1">
        <v>0</v>
      </c>
      <c r="H128" s="1">
        <v>0</v>
      </c>
      <c r="I128" s="1">
        <v>0</v>
      </c>
      <c r="J128" s="1">
        <f>Raw_Data[[#This Row],[Quick Match]]+Raw_Data[[#This Row],[Manual Match]]</f>
        <v>0</v>
      </c>
    </row>
    <row r="129" spans="1:10" ht="17.25" customHeight="1" x14ac:dyDescent="0.25">
      <c r="A129" s="4" t="s">
        <v>13</v>
      </c>
      <c r="B129" s="1" t="s">
        <v>31</v>
      </c>
      <c r="C129" s="1" t="s">
        <v>14</v>
      </c>
      <c r="D129" s="1" t="s">
        <v>19</v>
      </c>
      <c r="E129" s="1">
        <v>0</v>
      </c>
      <c r="F129" s="1">
        <v>0</v>
      </c>
      <c r="G129" s="1">
        <v>0</v>
      </c>
      <c r="H129" s="1">
        <v>0</v>
      </c>
      <c r="I129" s="1">
        <v>0</v>
      </c>
      <c r="J129" s="1">
        <f>Raw_Data[[#This Row],[Quick Match]]+Raw_Data[[#This Row],[Manual Match]]</f>
        <v>0</v>
      </c>
    </row>
    <row r="130" spans="1:10" ht="17.25" customHeight="1" x14ac:dyDescent="0.25">
      <c r="A130" s="4" t="s">
        <v>13</v>
      </c>
      <c r="B130" s="1" t="s">
        <v>31</v>
      </c>
      <c r="C130" s="1" t="s">
        <v>14</v>
      </c>
      <c r="D130" s="1" t="s">
        <v>20</v>
      </c>
      <c r="E130" s="1">
        <v>0</v>
      </c>
      <c r="F130" s="1">
        <v>0</v>
      </c>
      <c r="G130" s="1">
        <v>0</v>
      </c>
      <c r="H130" s="1">
        <v>0</v>
      </c>
      <c r="I130" s="1">
        <v>0</v>
      </c>
      <c r="J130" s="1">
        <f>Raw_Data[[#This Row],[Quick Match]]+Raw_Data[[#This Row],[Manual Match]]</f>
        <v>0</v>
      </c>
    </row>
    <row r="131" spans="1:10" ht="17.25" customHeight="1" x14ac:dyDescent="0.25">
      <c r="A131" s="4" t="s">
        <v>13</v>
      </c>
      <c r="B131" s="1" t="s">
        <v>31</v>
      </c>
      <c r="C131" s="1" t="s">
        <v>14</v>
      </c>
      <c r="D131" s="1" t="s">
        <v>21</v>
      </c>
      <c r="E131" s="1">
        <v>0</v>
      </c>
      <c r="F131" s="1">
        <v>0</v>
      </c>
      <c r="G131" s="1">
        <v>0</v>
      </c>
      <c r="H131" s="1">
        <v>0</v>
      </c>
      <c r="I131" s="1">
        <v>0</v>
      </c>
      <c r="J131" s="1">
        <f>Raw_Data[[#This Row],[Quick Match]]+Raw_Data[[#This Row],[Manual Match]]</f>
        <v>0</v>
      </c>
    </row>
    <row r="132" spans="1:10" ht="17.25" customHeight="1" x14ac:dyDescent="0.25">
      <c r="A132" s="4" t="s">
        <v>13</v>
      </c>
      <c r="B132" s="1" t="s">
        <v>31</v>
      </c>
      <c r="C132" s="1" t="s">
        <v>14</v>
      </c>
      <c r="D132" s="1" t="s">
        <v>22</v>
      </c>
      <c r="E132" s="1">
        <v>0</v>
      </c>
      <c r="F132" s="1">
        <v>0</v>
      </c>
      <c r="G132" s="1">
        <v>0</v>
      </c>
      <c r="H132" s="1">
        <v>0</v>
      </c>
      <c r="I132" s="1">
        <v>0</v>
      </c>
      <c r="J132" s="1">
        <f>Raw_Data[[#This Row],[Quick Match]]+Raw_Data[[#This Row],[Manual Match]]</f>
        <v>0</v>
      </c>
    </row>
    <row r="133" spans="1:10" ht="17.25" customHeight="1" x14ac:dyDescent="0.25">
      <c r="A133" s="4" t="s">
        <v>13</v>
      </c>
      <c r="B133" s="1" t="s">
        <v>31</v>
      </c>
      <c r="C133" s="1" t="s">
        <v>14</v>
      </c>
      <c r="D133" s="1" t="s">
        <v>23</v>
      </c>
      <c r="E133" s="1">
        <v>0</v>
      </c>
      <c r="F133" s="1">
        <v>0</v>
      </c>
      <c r="G133" s="1">
        <v>0</v>
      </c>
      <c r="H133" s="1">
        <v>0</v>
      </c>
      <c r="I133" s="1">
        <v>0</v>
      </c>
      <c r="J133" s="1">
        <f>Raw_Data[[#This Row],[Quick Match]]+Raw_Data[[#This Row],[Manual Match]]</f>
        <v>0</v>
      </c>
    </row>
    <row r="134" spans="1:10" ht="17.25" customHeight="1" x14ac:dyDescent="0.25">
      <c r="A134" s="4" t="s">
        <v>13</v>
      </c>
      <c r="B134" s="1" t="s">
        <v>31</v>
      </c>
      <c r="C134" s="1" t="s">
        <v>14</v>
      </c>
      <c r="D134" s="1" t="s">
        <v>24</v>
      </c>
      <c r="E134" s="1">
        <v>0</v>
      </c>
      <c r="F134" s="1">
        <v>0</v>
      </c>
      <c r="G134" s="1">
        <v>0</v>
      </c>
      <c r="H134" s="1">
        <v>0</v>
      </c>
      <c r="I134" s="1">
        <v>0</v>
      </c>
      <c r="J134" s="1">
        <f>Raw_Data[[#This Row],[Quick Match]]+Raw_Data[[#This Row],[Manual Match]]</f>
        <v>0</v>
      </c>
    </row>
    <row r="135" spans="1:10" ht="17.25" customHeight="1" x14ac:dyDescent="0.25">
      <c r="A135" s="4" t="s">
        <v>13</v>
      </c>
      <c r="B135" s="1" t="s">
        <v>31</v>
      </c>
      <c r="C135" s="1" t="s">
        <v>25</v>
      </c>
      <c r="D135" s="1" t="s">
        <v>18</v>
      </c>
      <c r="E135" s="1">
        <v>0</v>
      </c>
      <c r="F135" s="1">
        <v>0</v>
      </c>
      <c r="G135" s="1">
        <v>0</v>
      </c>
      <c r="H135" s="1">
        <v>0</v>
      </c>
      <c r="I135" s="1">
        <v>0</v>
      </c>
      <c r="J135" s="1">
        <f>Raw_Data[[#This Row],[Quick Match]]+Raw_Data[[#This Row],[Manual Match]]</f>
        <v>0</v>
      </c>
    </row>
    <row r="136" spans="1:10" ht="17.25" customHeight="1" x14ac:dyDescent="0.25">
      <c r="A136" s="4" t="s">
        <v>13</v>
      </c>
      <c r="B136" s="1" t="s">
        <v>31</v>
      </c>
      <c r="C136" s="1" t="s">
        <v>25</v>
      </c>
      <c r="D136" s="1" t="s">
        <v>19</v>
      </c>
      <c r="E136" s="1">
        <v>0</v>
      </c>
      <c r="F136" s="1">
        <v>0</v>
      </c>
      <c r="G136" s="1">
        <v>0</v>
      </c>
      <c r="H136" s="1">
        <v>0</v>
      </c>
      <c r="I136" s="1">
        <v>0</v>
      </c>
      <c r="J136" s="1">
        <f>Raw_Data[[#This Row],[Quick Match]]+Raw_Data[[#This Row],[Manual Match]]</f>
        <v>0</v>
      </c>
    </row>
    <row r="137" spans="1:10" ht="17.25" customHeight="1" x14ac:dyDescent="0.25">
      <c r="A137" s="4" t="s">
        <v>13</v>
      </c>
      <c r="B137" s="1" t="s">
        <v>31</v>
      </c>
      <c r="C137" s="1" t="s">
        <v>25</v>
      </c>
      <c r="D137" s="1" t="s">
        <v>20</v>
      </c>
      <c r="E137" s="1">
        <v>0</v>
      </c>
      <c r="F137" s="1">
        <v>0</v>
      </c>
      <c r="G137" s="1">
        <v>0</v>
      </c>
      <c r="H137" s="1">
        <v>0</v>
      </c>
      <c r="I137" s="1">
        <v>0</v>
      </c>
      <c r="J137" s="1">
        <f>Raw_Data[[#This Row],[Quick Match]]+Raw_Data[[#This Row],[Manual Match]]</f>
        <v>0</v>
      </c>
    </row>
    <row r="138" spans="1:10" ht="17.25" customHeight="1" x14ac:dyDescent="0.25">
      <c r="A138" s="4" t="s">
        <v>13</v>
      </c>
      <c r="B138" s="1" t="s">
        <v>31</v>
      </c>
      <c r="C138" s="1" t="s">
        <v>25</v>
      </c>
      <c r="D138" s="1" t="s">
        <v>21</v>
      </c>
      <c r="E138" s="1">
        <v>0</v>
      </c>
      <c r="F138" s="1">
        <v>0</v>
      </c>
      <c r="G138" s="1">
        <v>0</v>
      </c>
      <c r="H138" s="1">
        <v>0</v>
      </c>
      <c r="I138" s="1">
        <v>0</v>
      </c>
      <c r="J138" s="1">
        <f>Raw_Data[[#This Row],[Quick Match]]+Raw_Data[[#This Row],[Manual Match]]</f>
        <v>0</v>
      </c>
    </row>
    <row r="139" spans="1:10" ht="17.25" customHeight="1" x14ac:dyDescent="0.25">
      <c r="A139" s="4" t="s">
        <v>13</v>
      </c>
      <c r="B139" s="1" t="s">
        <v>31</v>
      </c>
      <c r="C139" s="1" t="s">
        <v>25</v>
      </c>
      <c r="D139" s="1" t="s">
        <v>22</v>
      </c>
      <c r="E139" s="1">
        <v>0</v>
      </c>
      <c r="F139" s="1">
        <v>0</v>
      </c>
      <c r="G139" s="1">
        <v>0</v>
      </c>
      <c r="H139" s="1">
        <v>0</v>
      </c>
      <c r="I139" s="1">
        <v>0</v>
      </c>
      <c r="J139" s="1">
        <f>Raw_Data[[#This Row],[Quick Match]]+Raw_Data[[#This Row],[Manual Match]]</f>
        <v>0</v>
      </c>
    </row>
    <row r="140" spans="1:10" ht="17.25" customHeight="1" x14ac:dyDescent="0.25">
      <c r="A140" s="4" t="s">
        <v>13</v>
      </c>
      <c r="B140" s="1" t="s">
        <v>31</v>
      </c>
      <c r="C140" s="1" t="s">
        <v>25</v>
      </c>
      <c r="D140" s="1" t="s">
        <v>23</v>
      </c>
      <c r="E140" s="1">
        <v>0</v>
      </c>
      <c r="F140" s="1">
        <v>0</v>
      </c>
      <c r="G140" s="1">
        <v>0</v>
      </c>
      <c r="H140" s="1">
        <v>0</v>
      </c>
      <c r="I140" s="1">
        <v>0</v>
      </c>
      <c r="J140" s="1">
        <f>Raw_Data[[#This Row],[Quick Match]]+Raw_Data[[#This Row],[Manual Match]]</f>
        <v>0</v>
      </c>
    </row>
    <row r="141" spans="1:10" ht="17.25" customHeight="1" x14ac:dyDescent="0.25">
      <c r="A141" s="4" t="s">
        <v>13</v>
      </c>
      <c r="B141" s="1" t="s">
        <v>31</v>
      </c>
      <c r="C141" s="1" t="s">
        <v>25</v>
      </c>
      <c r="D141" s="1" t="s">
        <v>24</v>
      </c>
      <c r="E141" s="1">
        <v>0</v>
      </c>
      <c r="F141" s="1">
        <v>0</v>
      </c>
      <c r="G141" s="1">
        <v>0</v>
      </c>
      <c r="H141" s="1">
        <v>0</v>
      </c>
      <c r="I141" s="1">
        <v>0</v>
      </c>
      <c r="J141" s="1">
        <f>Raw_Data[[#This Row],[Quick Match]]+Raw_Data[[#This Row],[Manual Match]]</f>
        <v>0</v>
      </c>
    </row>
    <row r="142" spans="1:10" ht="17.25" customHeight="1" x14ac:dyDescent="0.25">
      <c r="A142" s="4" t="s">
        <v>13</v>
      </c>
      <c r="B142" s="1" t="s">
        <v>31</v>
      </c>
      <c r="C142" s="1" t="s">
        <v>15</v>
      </c>
      <c r="D142" s="1" t="s">
        <v>18</v>
      </c>
      <c r="E142" s="1">
        <v>0</v>
      </c>
      <c r="F142" s="1">
        <v>0</v>
      </c>
      <c r="G142" s="1">
        <v>0</v>
      </c>
      <c r="H142" s="1">
        <v>0</v>
      </c>
      <c r="I142" s="1">
        <v>0</v>
      </c>
      <c r="J142" s="1">
        <f>Raw_Data[[#This Row],[Quick Match]]+Raw_Data[[#This Row],[Manual Match]]</f>
        <v>0</v>
      </c>
    </row>
    <row r="143" spans="1:10" ht="17.25" customHeight="1" x14ac:dyDescent="0.25">
      <c r="A143" s="4" t="s">
        <v>13</v>
      </c>
      <c r="B143" s="1" t="s">
        <v>31</v>
      </c>
      <c r="C143" s="1" t="s">
        <v>15</v>
      </c>
      <c r="D143" s="1" t="s">
        <v>19</v>
      </c>
      <c r="E143" s="1">
        <v>0</v>
      </c>
      <c r="F143" s="1">
        <v>0</v>
      </c>
      <c r="G143" s="1">
        <v>0</v>
      </c>
      <c r="H143" s="1">
        <v>0</v>
      </c>
      <c r="I143" s="1">
        <v>0</v>
      </c>
      <c r="J143" s="1">
        <f>Raw_Data[[#This Row],[Quick Match]]+Raw_Data[[#This Row],[Manual Match]]</f>
        <v>0</v>
      </c>
    </row>
    <row r="144" spans="1:10" ht="17.25" customHeight="1" x14ac:dyDescent="0.25">
      <c r="A144" s="4" t="s">
        <v>13</v>
      </c>
      <c r="B144" s="1" t="s">
        <v>31</v>
      </c>
      <c r="C144" s="1" t="s">
        <v>15</v>
      </c>
      <c r="D144" s="1" t="s">
        <v>20</v>
      </c>
      <c r="E144" s="1">
        <v>0</v>
      </c>
      <c r="F144" s="1">
        <v>0</v>
      </c>
      <c r="G144" s="1">
        <v>0</v>
      </c>
      <c r="H144" s="1">
        <v>0</v>
      </c>
      <c r="I144" s="1">
        <v>0</v>
      </c>
      <c r="J144" s="1">
        <f>Raw_Data[[#This Row],[Quick Match]]+Raw_Data[[#This Row],[Manual Match]]</f>
        <v>0</v>
      </c>
    </row>
    <row r="145" spans="1:10" ht="17.25" customHeight="1" x14ac:dyDescent="0.25">
      <c r="A145" s="4" t="s">
        <v>13</v>
      </c>
      <c r="B145" s="1" t="s">
        <v>31</v>
      </c>
      <c r="C145" s="1" t="s">
        <v>15</v>
      </c>
      <c r="D145" s="1" t="s">
        <v>21</v>
      </c>
      <c r="E145" s="1">
        <v>0</v>
      </c>
      <c r="F145" s="1">
        <v>0</v>
      </c>
      <c r="G145" s="1">
        <v>0</v>
      </c>
      <c r="H145" s="1">
        <v>0</v>
      </c>
      <c r="I145" s="1">
        <v>0</v>
      </c>
      <c r="J145" s="1">
        <f>Raw_Data[[#This Row],[Quick Match]]+Raw_Data[[#This Row],[Manual Match]]</f>
        <v>0</v>
      </c>
    </row>
    <row r="146" spans="1:10" ht="17.25" customHeight="1" x14ac:dyDescent="0.25">
      <c r="A146" s="4" t="s">
        <v>13</v>
      </c>
      <c r="B146" s="1" t="s">
        <v>31</v>
      </c>
      <c r="C146" s="1" t="s">
        <v>15</v>
      </c>
      <c r="D146" s="1" t="s">
        <v>22</v>
      </c>
      <c r="E146" s="1">
        <v>0</v>
      </c>
      <c r="F146" s="1">
        <v>0</v>
      </c>
      <c r="G146" s="1">
        <v>0</v>
      </c>
      <c r="H146" s="1">
        <v>0</v>
      </c>
      <c r="I146" s="1">
        <v>0</v>
      </c>
      <c r="J146" s="1">
        <f>Raw_Data[[#This Row],[Quick Match]]+Raw_Data[[#This Row],[Manual Match]]</f>
        <v>0</v>
      </c>
    </row>
    <row r="147" spans="1:10" ht="17.25" customHeight="1" x14ac:dyDescent="0.25">
      <c r="A147" s="4" t="s">
        <v>13</v>
      </c>
      <c r="B147" s="1" t="s">
        <v>31</v>
      </c>
      <c r="C147" s="1" t="s">
        <v>15</v>
      </c>
      <c r="D147" s="1" t="s">
        <v>23</v>
      </c>
      <c r="E147" s="1">
        <v>0</v>
      </c>
      <c r="F147" s="1">
        <v>0</v>
      </c>
      <c r="G147" s="1">
        <v>0</v>
      </c>
      <c r="H147" s="1">
        <v>0</v>
      </c>
      <c r="I147" s="1">
        <v>0</v>
      </c>
      <c r="J147" s="1">
        <f>Raw_Data[[#This Row],[Quick Match]]+Raw_Data[[#This Row],[Manual Match]]</f>
        <v>0</v>
      </c>
    </row>
    <row r="148" spans="1:10" ht="17.25" customHeight="1" x14ac:dyDescent="0.25">
      <c r="A148" s="4" t="s">
        <v>13</v>
      </c>
      <c r="B148" s="1" t="s">
        <v>31</v>
      </c>
      <c r="C148" s="1" t="s">
        <v>15</v>
      </c>
      <c r="D148" s="1" t="s">
        <v>24</v>
      </c>
      <c r="E148" s="1">
        <v>0</v>
      </c>
      <c r="F148" s="1">
        <v>0</v>
      </c>
      <c r="G148" s="1">
        <v>0</v>
      </c>
      <c r="H148" s="1">
        <v>0</v>
      </c>
      <c r="I148" s="1">
        <v>0</v>
      </c>
      <c r="J148" s="1">
        <f>Raw_Data[[#This Row],[Quick Match]]+Raw_Data[[#This Row],[Manual Match]]</f>
        <v>0</v>
      </c>
    </row>
    <row r="149" spans="1:10" ht="17.25" customHeight="1" x14ac:dyDescent="0.25">
      <c r="A149" s="4" t="s">
        <v>16</v>
      </c>
      <c r="B149" s="1" t="s">
        <v>32</v>
      </c>
      <c r="C149" s="1" t="s">
        <v>14</v>
      </c>
      <c r="D149" s="1" t="s">
        <v>18</v>
      </c>
      <c r="E149" s="1">
        <v>5</v>
      </c>
      <c r="F149" s="1">
        <v>1</v>
      </c>
      <c r="G149" s="1">
        <v>0</v>
      </c>
      <c r="H149" s="1">
        <v>1</v>
      </c>
      <c r="I149" s="1">
        <v>7</v>
      </c>
      <c r="J149" s="1">
        <f>Raw_Data[[#This Row],[Quick Match]]+Raw_Data[[#This Row],[Manual Match]]</f>
        <v>6</v>
      </c>
    </row>
    <row r="150" spans="1:10" ht="17.25" customHeight="1" x14ac:dyDescent="0.25">
      <c r="A150" s="4" t="s">
        <v>16</v>
      </c>
      <c r="B150" s="1" t="s">
        <v>32</v>
      </c>
      <c r="C150" s="1" t="s">
        <v>14</v>
      </c>
      <c r="D150" s="1" t="s">
        <v>19</v>
      </c>
      <c r="E150" s="1">
        <v>6</v>
      </c>
      <c r="F150" s="1">
        <v>1</v>
      </c>
      <c r="G150" s="1">
        <v>0</v>
      </c>
      <c r="H150" s="1">
        <v>0</v>
      </c>
      <c r="I150" s="1">
        <v>7</v>
      </c>
      <c r="J150" s="1">
        <f>Raw_Data[[#This Row],[Quick Match]]+Raw_Data[[#This Row],[Manual Match]]</f>
        <v>7</v>
      </c>
    </row>
    <row r="151" spans="1:10" ht="17.25" customHeight="1" x14ac:dyDescent="0.25">
      <c r="A151" s="4" t="s">
        <v>16</v>
      </c>
      <c r="B151" s="1" t="s">
        <v>32</v>
      </c>
      <c r="C151" s="1" t="s">
        <v>14</v>
      </c>
      <c r="D151" s="1" t="s">
        <v>20</v>
      </c>
      <c r="E151" s="1">
        <v>6</v>
      </c>
      <c r="F151" s="1">
        <v>1</v>
      </c>
      <c r="G151" s="1">
        <v>0</v>
      </c>
      <c r="H151" s="1">
        <v>0</v>
      </c>
      <c r="I151" s="1">
        <v>7</v>
      </c>
      <c r="J151" s="1">
        <f>Raw_Data[[#This Row],[Quick Match]]+Raw_Data[[#This Row],[Manual Match]]</f>
        <v>7</v>
      </c>
    </row>
    <row r="152" spans="1:10" ht="17.25" customHeight="1" x14ac:dyDescent="0.25">
      <c r="A152" s="4" t="s">
        <v>16</v>
      </c>
      <c r="B152" s="1" t="s">
        <v>32</v>
      </c>
      <c r="C152" s="1" t="s">
        <v>14</v>
      </c>
      <c r="D152" s="1" t="s">
        <v>21</v>
      </c>
      <c r="E152" s="1">
        <v>2</v>
      </c>
      <c r="F152" s="1">
        <v>9</v>
      </c>
      <c r="G152" s="1">
        <v>3</v>
      </c>
      <c r="H152" s="1">
        <v>0</v>
      </c>
      <c r="I152" s="1">
        <v>14</v>
      </c>
      <c r="J152" s="1">
        <f>Raw_Data[[#This Row],[Quick Match]]+Raw_Data[[#This Row],[Manual Match]]</f>
        <v>11</v>
      </c>
    </row>
    <row r="153" spans="1:10" ht="17.25" customHeight="1" x14ac:dyDescent="0.25">
      <c r="A153" s="4" t="s">
        <v>16</v>
      </c>
      <c r="B153" s="1" t="s">
        <v>32</v>
      </c>
      <c r="C153" s="1" t="s">
        <v>14</v>
      </c>
      <c r="D153" s="1" t="s">
        <v>22</v>
      </c>
      <c r="E153" s="1">
        <v>0</v>
      </c>
      <c r="F153" s="1">
        <v>18</v>
      </c>
      <c r="G153" s="1">
        <v>10</v>
      </c>
      <c r="H153" s="1">
        <v>1</v>
      </c>
      <c r="I153" s="1">
        <v>29</v>
      </c>
      <c r="J153" s="1">
        <f>Raw_Data[[#This Row],[Quick Match]]+Raw_Data[[#This Row],[Manual Match]]</f>
        <v>18</v>
      </c>
    </row>
    <row r="154" spans="1:10" ht="17.25" customHeight="1" x14ac:dyDescent="0.25">
      <c r="A154" s="4" t="s">
        <v>16</v>
      </c>
      <c r="B154" s="1" t="s">
        <v>32</v>
      </c>
      <c r="C154" s="1" t="s">
        <v>14</v>
      </c>
      <c r="D154" s="1" t="s">
        <v>23</v>
      </c>
      <c r="E154" s="1">
        <v>0</v>
      </c>
      <c r="F154" s="1">
        <v>11</v>
      </c>
      <c r="G154" s="1">
        <v>2</v>
      </c>
      <c r="H154" s="1">
        <v>3</v>
      </c>
      <c r="I154" s="1">
        <v>16</v>
      </c>
      <c r="J154" s="1">
        <f>Raw_Data[[#This Row],[Quick Match]]+Raw_Data[[#This Row],[Manual Match]]</f>
        <v>11</v>
      </c>
    </row>
    <row r="155" spans="1:10" ht="17.25" customHeight="1" x14ac:dyDescent="0.25">
      <c r="A155" s="4" t="s">
        <v>16</v>
      </c>
      <c r="B155" s="1" t="s">
        <v>32</v>
      </c>
      <c r="C155" s="1" t="s">
        <v>14</v>
      </c>
      <c r="D155" s="1" t="s">
        <v>24</v>
      </c>
      <c r="E155" s="1">
        <v>0</v>
      </c>
      <c r="F155" s="1">
        <v>1</v>
      </c>
      <c r="G155" s="1">
        <v>0</v>
      </c>
      <c r="H155" s="1">
        <v>0</v>
      </c>
      <c r="I155" s="1">
        <v>1</v>
      </c>
      <c r="J155" s="1">
        <f>Raw_Data[[#This Row],[Quick Match]]+Raw_Data[[#This Row],[Manual Match]]</f>
        <v>1</v>
      </c>
    </row>
    <row r="156" spans="1:10" ht="17.25" customHeight="1" x14ac:dyDescent="0.25">
      <c r="A156" s="4" t="s">
        <v>16</v>
      </c>
      <c r="B156" s="1" t="s">
        <v>32</v>
      </c>
      <c r="C156" s="1" t="s">
        <v>25</v>
      </c>
      <c r="D156" s="1" t="s">
        <v>18</v>
      </c>
      <c r="E156" s="1">
        <v>8</v>
      </c>
      <c r="F156" s="1">
        <v>2</v>
      </c>
      <c r="G156" s="1">
        <v>0</v>
      </c>
      <c r="H156" s="1">
        <v>0</v>
      </c>
      <c r="I156" s="1">
        <v>10</v>
      </c>
      <c r="J156" s="1">
        <f>Raw_Data[[#This Row],[Quick Match]]+Raw_Data[[#This Row],[Manual Match]]</f>
        <v>10</v>
      </c>
    </row>
    <row r="157" spans="1:10" ht="17.25" customHeight="1" x14ac:dyDescent="0.25">
      <c r="A157" s="4" t="s">
        <v>16</v>
      </c>
      <c r="B157" s="1" t="s">
        <v>32</v>
      </c>
      <c r="C157" s="1" t="s">
        <v>25</v>
      </c>
      <c r="D157" s="1" t="s">
        <v>19</v>
      </c>
      <c r="E157" s="1">
        <v>7</v>
      </c>
      <c r="F157" s="1">
        <v>0</v>
      </c>
      <c r="G157" s="1">
        <v>1</v>
      </c>
      <c r="H157" s="1">
        <v>0</v>
      </c>
      <c r="I157" s="1">
        <v>8</v>
      </c>
      <c r="J157" s="1">
        <f>Raw_Data[[#This Row],[Quick Match]]+Raw_Data[[#This Row],[Manual Match]]</f>
        <v>7</v>
      </c>
    </row>
    <row r="158" spans="1:10" ht="17.25" customHeight="1" x14ac:dyDescent="0.25">
      <c r="A158" s="4" t="s">
        <v>16</v>
      </c>
      <c r="B158" s="1" t="s">
        <v>32</v>
      </c>
      <c r="C158" s="1" t="s">
        <v>25</v>
      </c>
      <c r="D158" s="1" t="s">
        <v>20</v>
      </c>
      <c r="E158" s="1">
        <v>5</v>
      </c>
      <c r="F158" s="1">
        <v>2</v>
      </c>
      <c r="G158" s="1">
        <v>2</v>
      </c>
      <c r="H158" s="1">
        <v>1</v>
      </c>
      <c r="I158" s="1">
        <v>10</v>
      </c>
      <c r="J158" s="1">
        <f>Raw_Data[[#This Row],[Quick Match]]+Raw_Data[[#This Row],[Manual Match]]</f>
        <v>7</v>
      </c>
    </row>
    <row r="159" spans="1:10" ht="17.25" customHeight="1" x14ac:dyDescent="0.25">
      <c r="A159" s="4" t="s">
        <v>16</v>
      </c>
      <c r="B159" s="1" t="s">
        <v>32</v>
      </c>
      <c r="C159" s="1" t="s">
        <v>25</v>
      </c>
      <c r="D159" s="1" t="s">
        <v>21</v>
      </c>
      <c r="E159" s="1">
        <v>3</v>
      </c>
      <c r="F159" s="1">
        <v>6</v>
      </c>
      <c r="G159" s="1">
        <v>7</v>
      </c>
      <c r="H159" s="1">
        <v>0</v>
      </c>
      <c r="I159" s="1">
        <v>16</v>
      </c>
      <c r="J159" s="1">
        <f>Raw_Data[[#This Row],[Quick Match]]+Raw_Data[[#This Row],[Manual Match]]</f>
        <v>9</v>
      </c>
    </row>
    <row r="160" spans="1:10" ht="17.25" customHeight="1" x14ac:dyDescent="0.25">
      <c r="A160" s="4" t="s">
        <v>16</v>
      </c>
      <c r="B160" s="1" t="s">
        <v>32</v>
      </c>
      <c r="C160" s="1" t="s">
        <v>25</v>
      </c>
      <c r="D160" s="1" t="s">
        <v>22</v>
      </c>
      <c r="E160" s="1">
        <v>1</v>
      </c>
      <c r="F160" s="1">
        <v>22</v>
      </c>
      <c r="G160" s="1">
        <v>7</v>
      </c>
      <c r="H160" s="1">
        <v>5</v>
      </c>
      <c r="I160" s="1">
        <v>35</v>
      </c>
      <c r="J160" s="1">
        <f>Raw_Data[[#This Row],[Quick Match]]+Raw_Data[[#This Row],[Manual Match]]</f>
        <v>23</v>
      </c>
    </row>
    <row r="161" spans="1:10" ht="17.25" customHeight="1" x14ac:dyDescent="0.25">
      <c r="A161" s="4" t="s">
        <v>16</v>
      </c>
      <c r="B161" s="1" t="s">
        <v>32</v>
      </c>
      <c r="C161" s="1" t="s">
        <v>25</v>
      </c>
      <c r="D161" s="1" t="s">
        <v>23</v>
      </c>
      <c r="E161" s="1">
        <v>1</v>
      </c>
      <c r="F161" s="1">
        <v>13</v>
      </c>
      <c r="G161" s="1">
        <v>5</v>
      </c>
      <c r="H161" s="1">
        <v>0</v>
      </c>
      <c r="I161" s="1">
        <v>19</v>
      </c>
      <c r="J161" s="1">
        <f>Raw_Data[[#This Row],[Quick Match]]+Raw_Data[[#This Row],[Manual Match]]</f>
        <v>14</v>
      </c>
    </row>
    <row r="162" spans="1:10" ht="17.25" customHeight="1" x14ac:dyDescent="0.25">
      <c r="A162" s="4" t="s">
        <v>16</v>
      </c>
      <c r="B162" s="1" t="s">
        <v>32</v>
      </c>
      <c r="C162" s="1" t="s">
        <v>25</v>
      </c>
      <c r="D162" s="1" t="s">
        <v>24</v>
      </c>
      <c r="E162" s="1">
        <v>0</v>
      </c>
      <c r="F162" s="1">
        <v>2</v>
      </c>
      <c r="G162" s="1">
        <v>1</v>
      </c>
      <c r="H162" s="1">
        <v>0</v>
      </c>
      <c r="I162" s="1">
        <v>3</v>
      </c>
      <c r="J162" s="1">
        <f>Raw_Data[[#This Row],[Quick Match]]+Raw_Data[[#This Row],[Manual Match]]</f>
        <v>2</v>
      </c>
    </row>
    <row r="163" spans="1:10" ht="17.25" customHeight="1" x14ac:dyDescent="0.25">
      <c r="A163" s="4" t="s">
        <v>16</v>
      </c>
      <c r="B163" s="1" t="s">
        <v>32</v>
      </c>
      <c r="C163" s="1" t="s">
        <v>15</v>
      </c>
      <c r="D163" s="1" t="s">
        <v>18</v>
      </c>
      <c r="E163" s="1">
        <v>6</v>
      </c>
      <c r="F163" s="1">
        <v>1</v>
      </c>
      <c r="G163" s="1">
        <v>1</v>
      </c>
      <c r="H163" s="1">
        <v>0</v>
      </c>
      <c r="I163" s="1">
        <v>8</v>
      </c>
      <c r="J163" s="1">
        <f>Raw_Data[[#This Row],[Quick Match]]+Raw_Data[[#This Row],[Manual Match]]</f>
        <v>7</v>
      </c>
    </row>
    <row r="164" spans="1:10" ht="17.25" customHeight="1" x14ac:dyDescent="0.25">
      <c r="A164" s="4" t="s">
        <v>16</v>
      </c>
      <c r="B164" s="1" t="s">
        <v>32</v>
      </c>
      <c r="C164" s="1" t="s">
        <v>15</v>
      </c>
      <c r="D164" s="1" t="s">
        <v>19</v>
      </c>
      <c r="E164" s="1">
        <v>6</v>
      </c>
      <c r="F164" s="1">
        <v>2</v>
      </c>
      <c r="G164" s="1">
        <v>0</v>
      </c>
      <c r="H164" s="1">
        <v>0</v>
      </c>
      <c r="I164" s="1">
        <v>8</v>
      </c>
      <c r="J164" s="1">
        <f>Raw_Data[[#This Row],[Quick Match]]+Raw_Data[[#This Row],[Manual Match]]</f>
        <v>8</v>
      </c>
    </row>
    <row r="165" spans="1:10" ht="17.25" customHeight="1" x14ac:dyDescent="0.25">
      <c r="A165" s="4" t="s">
        <v>16</v>
      </c>
      <c r="B165" s="1" t="s">
        <v>32</v>
      </c>
      <c r="C165" s="1" t="s">
        <v>15</v>
      </c>
      <c r="D165" s="1" t="s">
        <v>20</v>
      </c>
      <c r="E165" s="1">
        <v>3</v>
      </c>
      <c r="F165" s="1">
        <v>3</v>
      </c>
      <c r="G165" s="1">
        <v>0</v>
      </c>
      <c r="H165" s="1">
        <v>0</v>
      </c>
      <c r="I165" s="1">
        <v>6</v>
      </c>
      <c r="J165" s="1">
        <f>Raw_Data[[#This Row],[Quick Match]]+Raw_Data[[#This Row],[Manual Match]]</f>
        <v>6</v>
      </c>
    </row>
    <row r="166" spans="1:10" ht="17.25" customHeight="1" x14ac:dyDescent="0.25">
      <c r="A166" s="4" t="s">
        <v>16</v>
      </c>
      <c r="B166" s="1" t="s">
        <v>32</v>
      </c>
      <c r="C166" s="1" t="s">
        <v>15</v>
      </c>
      <c r="D166" s="1" t="s">
        <v>21</v>
      </c>
      <c r="E166" s="1">
        <v>0</v>
      </c>
      <c r="F166" s="1">
        <v>2</v>
      </c>
      <c r="G166" s="1">
        <v>1</v>
      </c>
      <c r="H166" s="1">
        <v>1</v>
      </c>
      <c r="I166" s="1">
        <v>4</v>
      </c>
      <c r="J166" s="1">
        <f>Raw_Data[[#This Row],[Quick Match]]+Raw_Data[[#This Row],[Manual Match]]</f>
        <v>2</v>
      </c>
    </row>
    <row r="167" spans="1:10" ht="17.25" customHeight="1" x14ac:dyDescent="0.25">
      <c r="A167" s="4" t="s">
        <v>16</v>
      </c>
      <c r="B167" s="1" t="s">
        <v>32</v>
      </c>
      <c r="C167" s="1" t="s">
        <v>15</v>
      </c>
      <c r="D167" s="1" t="s">
        <v>22</v>
      </c>
      <c r="E167" s="1">
        <v>2</v>
      </c>
      <c r="F167" s="1">
        <v>4</v>
      </c>
      <c r="G167" s="1">
        <v>2</v>
      </c>
      <c r="H167" s="1">
        <v>0</v>
      </c>
      <c r="I167" s="1">
        <v>8</v>
      </c>
      <c r="J167" s="1">
        <f>Raw_Data[[#This Row],[Quick Match]]+Raw_Data[[#This Row],[Manual Match]]</f>
        <v>6</v>
      </c>
    </row>
    <row r="168" spans="1:10" ht="17.25" customHeight="1" x14ac:dyDescent="0.25">
      <c r="A168" s="4" t="s">
        <v>16</v>
      </c>
      <c r="B168" s="1" t="s">
        <v>32</v>
      </c>
      <c r="C168" s="1" t="s">
        <v>15</v>
      </c>
      <c r="D168" s="1" t="s">
        <v>23</v>
      </c>
      <c r="E168" s="1">
        <v>0</v>
      </c>
      <c r="F168" s="1">
        <v>2</v>
      </c>
      <c r="G168" s="1">
        <v>1</v>
      </c>
      <c r="H168" s="1">
        <v>0</v>
      </c>
      <c r="I168" s="1">
        <v>3</v>
      </c>
      <c r="J168" s="1">
        <f>Raw_Data[[#This Row],[Quick Match]]+Raw_Data[[#This Row],[Manual Match]]</f>
        <v>2</v>
      </c>
    </row>
    <row r="169" spans="1:10" ht="17.25" customHeight="1" x14ac:dyDescent="0.25">
      <c r="A169" s="4" t="s">
        <v>16</v>
      </c>
      <c r="B169" s="1" t="s">
        <v>32</v>
      </c>
      <c r="C169" s="1" t="s">
        <v>15</v>
      </c>
      <c r="D169" s="1" t="s">
        <v>24</v>
      </c>
      <c r="E169" s="1">
        <v>0</v>
      </c>
      <c r="F169" s="1">
        <v>1</v>
      </c>
      <c r="G169" s="1">
        <v>0</v>
      </c>
      <c r="H169" s="1">
        <v>0</v>
      </c>
      <c r="I169" s="1">
        <v>1</v>
      </c>
      <c r="J169" s="1">
        <f>Raw_Data[[#This Row],[Quick Match]]+Raw_Data[[#This Row],[Manual Match]]</f>
        <v>1</v>
      </c>
    </row>
    <row r="170" spans="1:10" ht="17.25" customHeight="1" x14ac:dyDescent="0.25">
      <c r="A170" s="4" t="s">
        <v>16</v>
      </c>
      <c r="B170" s="1" t="s">
        <v>33</v>
      </c>
      <c r="C170" s="1" t="s">
        <v>14</v>
      </c>
      <c r="D170" s="1" t="s">
        <v>18</v>
      </c>
      <c r="E170" s="1">
        <v>1</v>
      </c>
      <c r="F170" s="1">
        <v>0</v>
      </c>
      <c r="G170" s="1">
        <v>0</v>
      </c>
      <c r="H170" s="1">
        <v>0</v>
      </c>
      <c r="I170" s="1">
        <v>1</v>
      </c>
      <c r="J170" s="1">
        <f>Raw_Data[[#This Row],[Quick Match]]+Raw_Data[[#This Row],[Manual Match]]</f>
        <v>1</v>
      </c>
    </row>
    <row r="171" spans="1:10" ht="17.25" customHeight="1" x14ac:dyDescent="0.25">
      <c r="A171" s="4" t="s">
        <v>16</v>
      </c>
      <c r="B171" s="1" t="s">
        <v>33</v>
      </c>
      <c r="C171" s="1" t="s">
        <v>14</v>
      </c>
      <c r="D171" s="1" t="s">
        <v>19</v>
      </c>
      <c r="E171" s="1">
        <v>0</v>
      </c>
      <c r="F171" s="1">
        <v>0</v>
      </c>
      <c r="G171" s="1">
        <v>0</v>
      </c>
      <c r="H171" s="1">
        <v>0</v>
      </c>
      <c r="I171" s="1">
        <v>0</v>
      </c>
      <c r="J171" s="1">
        <f>Raw_Data[[#This Row],[Quick Match]]+Raw_Data[[#This Row],[Manual Match]]</f>
        <v>0</v>
      </c>
    </row>
    <row r="172" spans="1:10" ht="17.25" customHeight="1" x14ac:dyDescent="0.25">
      <c r="A172" s="4" t="s">
        <v>16</v>
      </c>
      <c r="B172" s="1" t="s">
        <v>33</v>
      </c>
      <c r="C172" s="1" t="s">
        <v>14</v>
      </c>
      <c r="D172" s="1" t="s">
        <v>20</v>
      </c>
      <c r="E172" s="1">
        <v>1</v>
      </c>
      <c r="F172" s="1">
        <v>0</v>
      </c>
      <c r="G172" s="1">
        <v>0</v>
      </c>
      <c r="H172" s="1">
        <v>0</v>
      </c>
      <c r="I172" s="1">
        <v>1</v>
      </c>
      <c r="J172" s="1">
        <f>Raw_Data[[#This Row],[Quick Match]]+Raw_Data[[#This Row],[Manual Match]]</f>
        <v>1</v>
      </c>
    </row>
    <row r="173" spans="1:10" ht="17.25" customHeight="1" x14ac:dyDescent="0.25">
      <c r="A173" s="4" t="s">
        <v>16</v>
      </c>
      <c r="B173" s="1" t="s">
        <v>33</v>
      </c>
      <c r="C173" s="1" t="s">
        <v>14</v>
      </c>
      <c r="D173" s="1" t="s">
        <v>21</v>
      </c>
      <c r="E173" s="1">
        <v>0</v>
      </c>
      <c r="F173" s="1">
        <v>2</v>
      </c>
      <c r="G173" s="1">
        <v>0</v>
      </c>
      <c r="H173" s="1">
        <v>0</v>
      </c>
      <c r="I173" s="1">
        <v>2</v>
      </c>
      <c r="J173" s="1">
        <f>Raw_Data[[#This Row],[Quick Match]]+Raw_Data[[#This Row],[Manual Match]]</f>
        <v>2</v>
      </c>
    </row>
    <row r="174" spans="1:10" ht="17.25" customHeight="1" x14ac:dyDescent="0.25">
      <c r="A174" s="4" t="s">
        <v>16</v>
      </c>
      <c r="B174" s="1" t="s">
        <v>33</v>
      </c>
      <c r="C174" s="1" t="s">
        <v>14</v>
      </c>
      <c r="D174" s="1" t="s">
        <v>22</v>
      </c>
      <c r="E174" s="1">
        <v>0</v>
      </c>
      <c r="F174" s="1">
        <v>2</v>
      </c>
      <c r="G174" s="1">
        <v>0</v>
      </c>
      <c r="H174" s="1">
        <v>0</v>
      </c>
      <c r="I174" s="1">
        <v>2</v>
      </c>
      <c r="J174" s="1">
        <f>Raw_Data[[#This Row],[Quick Match]]+Raw_Data[[#This Row],[Manual Match]]</f>
        <v>2</v>
      </c>
    </row>
    <row r="175" spans="1:10" ht="17.25" customHeight="1" x14ac:dyDescent="0.25">
      <c r="A175" s="4" t="s">
        <v>16</v>
      </c>
      <c r="B175" s="1" t="s">
        <v>33</v>
      </c>
      <c r="C175" s="1" t="s">
        <v>14</v>
      </c>
      <c r="D175" s="1" t="s">
        <v>23</v>
      </c>
      <c r="E175" s="1">
        <v>0</v>
      </c>
      <c r="F175" s="1">
        <v>0</v>
      </c>
      <c r="G175" s="1">
        <v>0</v>
      </c>
      <c r="H175" s="1">
        <v>0</v>
      </c>
      <c r="I175" s="1">
        <v>0</v>
      </c>
      <c r="J175" s="1">
        <f>Raw_Data[[#This Row],[Quick Match]]+Raw_Data[[#This Row],[Manual Match]]</f>
        <v>0</v>
      </c>
    </row>
    <row r="176" spans="1:10" ht="17.25" customHeight="1" x14ac:dyDescent="0.25">
      <c r="A176" s="4" t="s">
        <v>16</v>
      </c>
      <c r="B176" s="1" t="s">
        <v>33</v>
      </c>
      <c r="C176" s="1" t="s">
        <v>14</v>
      </c>
      <c r="D176" s="1" t="s">
        <v>24</v>
      </c>
      <c r="E176" s="1">
        <v>0</v>
      </c>
      <c r="F176" s="1">
        <v>0</v>
      </c>
      <c r="G176" s="1">
        <v>0</v>
      </c>
      <c r="H176" s="1">
        <v>0</v>
      </c>
      <c r="I176" s="1">
        <v>0</v>
      </c>
      <c r="J176" s="1">
        <f>Raw_Data[[#This Row],[Quick Match]]+Raw_Data[[#This Row],[Manual Match]]</f>
        <v>0</v>
      </c>
    </row>
    <row r="177" spans="1:10" ht="17.25" customHeight="1" x14ac:dyDescent="0.25">
      <c r="A177" s="4" t="s">
        <v>16</v>
      </c>
      <c r="B177" s="1" t="s">
        <v>33</v>
      </c>
      <c r="C177" s="1" t="s">
        <v>25</v>
      </c>
      <c r="D177" s="1" t="s">
        <v>18</v>
      </c>
      <c r="E177" s="1">
        <v>0</v>
      </c>
      <c r="F177" s="1">
        <v>0</v>
      </c>
      <c r="G177" s="1">
        <v>0</v>
      </c>
      <c r="H177" s="1">
        <v>0</v>
      </c>
      <c r="I177" s="1">
        <v>0</v>
      </c>
      <c r="J177" s="1">
        <f>Raw_Data[[#This Row],[Quick Match]]+Raw_Data[[#This Row],[Manual Match]]</f>
        <v>0</v>
      </c>
    </row>
    <row r="178" spans="1:10" ht="17.25" customHeight="1" x14ac:dyDescent="0.25">
      <c r="A178" s="4" t="s">
        <v>16</v>
      </c>
      <c r="B178" s="1" t="s">
        <v>33</v>
      </c>
      <c r="C178" s="1" t="s">
        <v>25</v>
      </c>
      <c r="D178" s="1" t="s">
        <v>19</v>
      </c>
      <c r="E178" s="1">
        <v>1</v>
      </c>
      <c r="F178" s="1">
        <v>0</v>
      </c>
      <c r="G178" s="1">
        <v>0</v>
      </c>
      <c r="H178" s="1">
        <v>0</v>
      </c>
      <c r="I178" s="1">
        <v>1</v>
      </c>
      <c r="J178" s="1">
        <f>Raw_Data[[#This Row],[Quick Match]]+Raw_Data[[#This Row],[Manual Match]]</f>
        <v>1</v>
      </c>
    </row>
    <row r="179" spans="1:10" ht="17.25" customHeight="1" x14ac:dyDescent="0.25">
      <c r="A179" s="4" t="s">
        <v>16</v>
      </c>
      <c r="B179" s="1" t="s">
        <v>33</v>
      </c>
      <c r="C179" s="1" t="s">
        <v>25</v>
      </c>
      <c r="D179" s="1" t="s">
        <v>20</v>
      </c>
      <c r="E179" s="1">
        <v>1</v>
      </c>
      <c r="F179" s="1">
        <v>0</v>
      </c>
      <c r="G179" s="1">
        <v>0</v>
      </c>
      <c r="H179" s="1">
        <v>0</v>
      </c>
      <c r="I179" s="1">
        <v>1</v>
      </c>
      <c r="J179" s="1">
        <f>Raw_Data[[#This Row],[Quick Match]]+Raw_Data[[#This Row],[Manual Match]]</f>
        <v>1</v>
      </c>
    </row>
    <row r="180" spans="1:10" ht="17.25" customHeight="1" x14ac:dyDescent="0.25">
      <c r="A180" s="4" t="s">
        <v>16</v>
      </c>
      <c r="B180" s="1" t="s">
        <v>33</v>
      </c>
      <c r="C180" s="1" t="s">
        <v>25</v>
      </c>
      <c r="D180" s="1" t="s">
        <v>21</v>
      </c>
      <c r="E180" s="1">
        <v>2</v>
      </c>
      <c r="F180" s="1">
        <v>0</v>
      </c>
      <c r="G180" s="1">
        <v>0</v>
      </c>
      <c r="H180" s="1">
        <v>0</v>
      </c>
      <c r="I180" s="1">
        <v>2</v>
      </c>
      <c r="J180" s="1">
        <f>Raw_Data[[#This Row],[Quick Match]]+Raw_Data[[#This Row],[Manual Match]]</f>
        <v>2</v>
      </c>
    </row>
    <row r="181" spans="1:10" ht="17.25" customHeight="1" x14ac:dyDescent="0.25">
      <c r="A181" s="4" t="s">
        <v>16</v>
      </c>
      <c r="B181" s="1" t="s">
        <v>33</v>
      </c>
      <c r="C181" s="1" t="s">
        <v>25</v>
      </c>
      <c r="D181" s="1" t="s">
        <v>22</v>
      </c>
      <c r="E181" s="1">
        <v>0</v>
      </c>
      <c r="F181" s="1">
        <v>3</v>
      </c>
      <c r="G181" s="1">
        <v>1</v>
      </c>
      <c r="H181" s="1">
        <v>1</v>
      </c>
      <c r="I181" s="1">
        <v>5</v>
      </c>
      <c r="J181" s="1">
        <f>Raw_Data[[#This Row],[Quick Match]]+Raw_Data[[#This Row],[Manual Match]]</f>
        <v>3</v>
      </c>
    </row>
    <row r="182" spans="1:10" ht="17.25" customHeight="1" x14ac:dyDescent="0.25">
      <c r="A182" s="4" t="s">
        <v>16</v>
      </c>
      <c r="B182" s="1" t="s">
        <v>33</v>
      </c>
      <c r="C182" s="1" t="s">
        <v>25</v>
      </c>
      <c r="D182" s="1" t="s">
        <v>23</v>
      </c>
      <c r="E182" s="1">
        <v>0</v>
      </c>
      <c r="F182" s="1">
        <v>5</v>
      </c>
      <c r="G182" s="1">
        <v>2</v>
      </c>
      <c r="H182" s="1">
        <v>1</v>
      </c>
      <c r="I182" s="1">
        <v>8</v>
      </c>
      <c r="J182" s="1">
        <f>Raw_Data[[#This Row],[Quick Match]]+Raw_Data[[#This Row],[Manual Match]]</f>
        <v>5</v>
      </c>
    </row>
    <row r="183" spans="1:10" ht="17.25" customHeight="1" x14ac:dyDescent="0.25">
      <c r="A183" s="4" t="s">
        <v>16</v>
      </c>
      <c r="B183" s="1" t="s">
        <v>33</v>
      </c>
      <c r="C183" s="1" t="s">
        <v>25</v>
      </c>
      <c r="D183" s="1" t="s">
        <v>24</v>
      </c>
      <c r="E183" s="1">
        <v>0</v>
      </c>
      <c r="F183" s="1">
        <v>0</v>
      </c>
      <c r="G183" s="1">
        <v>0</v>
      </c>
      <c r="H183" s="1">
        <v>0</v>
      </c>
      <c r="I183" s="1">
        <v>0</v>
      </c>
      <c r="J183" s="1">
        <f>Raw_Data[[#This Row],[Quick Match]]+Raw_Data[[#This Row],[Manual Match]]</f>
        <v>0</v>
      </c>
    </row>
    <row r="184" spans="1:10" ht="17.25" customHeight="1" x14ac:dyDescent="0.25">
      <c r="A184" s="4" t="s">
        <v>16</v>
      </c>
      <c r="B184" s="1" t="s">
        <v>33</v>
      </c>
      <c r="C184" s="1" t="s">
        <v>15</v>
      </c>
      <c r="D184" s="1" t="s">
        <v>18</v>
      </c>
      <c r="E184" s="1">
        <v>3</v>
      </c>
      <c r="F184" s="1">
        <v>1</v>
      </c>
      <c r="G184" s="1">
        <v>0</v>
      </c>
      <c r="H184" s="1">
        <v>0</v>
      </c>
      <c r="I184" s="1">
        <v>4</v>
      </c>
      <c r="J184" s="1">
        <f>Raw_Data[[#This Row],[Quick Match]]+Raw_Data[[#This Row],[Manual Match]]</f>
        <v>4</v>
      </c>
    </row>
    <row r="185" spans="1:10" ht="17.25" customHeight="1" x14ac:dyDescent="0.25">
      <c r="A185" s="4" t="s">
        <v>16</v>
      </c>
      <c r="B185" s="1" t="s">
        <v>33</v>
      </c>
      <c r="C185" s="1" t="s">
        <v>15</v>
      </c>
      <c r="D185" s="1" t="s">
        <v>19</v>
      </c>
      <c r="E185" s="1">
        <v>2</v>
      </c>
      <c r="F185" s="1">
        <v>0</v>
      </c>
      <c r="G185" s="1">
        <v>0</v>
      </c>
      <c r="H185" s="1">
        <v>0</v>
      </c>
      <c r="I185" s="1">
        <v>2</v>
      </c>
      <c r="J185" s="1">
        <f>Raw_Data[[#This Row],[Quick Match]]+Raw_Data[[#This Row],[Manual Match]]</f>
        <v>2</v>
      </c>
    </row>
    <row r="186" spans="1:10" ht="17.25" customHeight="1" x14ac:dyDescent="0.25">
      <c r="A186" s="4" t="s">
        <v>16</v>
      </c>
      <c r="B186" s="1" t="s">
        <v>33</v>
      </c>
      <c r="C186" s="1" t="s">
        <v>15</v>
      </c>
      <c r="D186" s="1" t="s">
        <v>20</v>
      </c>
      <c r="E186" s="1">
        <v>0</v>
      </c>
      <c r="F186" s="1">
        <v>0</v>
      </c>
      <c r="G186" s="1">
        <v>0</v>
      </c>
      <c r="H186" s="1">
        <v>0</v>
      </c>
      <c r="I186" s="1">
        <v>0</v>
      </c>
      <c r="J186" s="1">
        <f>Raw_Data[[#This Row],[Quick Match]]+Raw_Data[[#This Row],[Manual Match]]</f>
        <v>0</v>
      </c>
    </row>
    <row r="187" spans="1:10" ht="17.25" customHeight="1" x14ac:dyDescent="0.25">
      <c r="A187" s="4" t="s">
        <v>16</v>
      </c>
      <c r="B187" s="1" t="s">
        <v>33</v>
      </c>
      <c r="C187" s="1" t="s">
        <v>15</v>
      </c>
      <c r="D187" s="1" t="s">
        <v>21</v>
      </c>
      <c r="E187" s="1">
        <v>0</v>
      </c>
      <c r="F187" s="1">
        <v>1</v>
      </c>
      <c r="G187" s="1">
        <v>0</v>
      </c>
      <c r="H187" s="1">
        <v>0</v>
      </c>
      <c r="I187" s="1">
        <v>1</v>
      </c>
      <c r="J187" s="1">
        <f>Raw_Data[[#This Row],[Quick Match]]+Raw_Data[[#This Row],[Manual Match]]</f>
        <v>1</v>
      </c>
    </row>
    <row r="188" spans="1:10" ht="17.25" customHeight="1" x14ac:dyDescent="0.25">
      <c r="A188" s="4" t="s">
        <v>16</v>
      </c>
      <c r="B188" s="1" t="s">
        <v>33</v>
      </c>
      <c r="C188" s="1" t="s">
        <v>15</v>
      </c>
      <c r="D188" s="1" t="s">
        <v>22</v>
      </c>
      <c r="E188" s="1">
        <v>0</v>
      </c>
      <c r="F188" s="1">
        <v>0</v>
      </c>
      <c r="G188" s="1">
        <v>1</v>
      </c>
      <c r="H188" s="1">
        <v>0</v>
      </c>
      <c r="I188" s="1">
        <v>1</v>
      </c>
      <c r="J188" s="1">
        <f>Raw_Data[[#This Row],[Quick Match]]+Raw_Data[[#This Row],[Manual Match]]</f>
        <v>0</v>
      </c>
    </row>
    <row r="189" spans="1:10" ht="17.25" customHeight="1" x14ac:dyDescent="0.25">
      <c r="A189" s="4" t="s">
        <v>16</v>
      </c>
      <c r="B189" s="1" t="s">
        <v>33</v>
      </c>
      <c r="C189" s="1" t="s">
        <v>15</v>
      </c>
      <c r="D189" s="1" t="s">
        <v>23</v>
      </c>
      <c r="E189" s="1">
        <v>0</v>
      </c>
      <c r="F189" s="1">
        <v>0</v>
      </c>
      <c r="G189" s="1">
        <v>0</v>
      </c>
      <c r="H189" s="1">
        <v>0</v>
      </c>
      <c r="I189" s="1">
        <v>0</v>
      </c>
      <c r="J189" s="1">
        <f>Raw_Data[[#This Row],[Quick Match]]+Raw_Data[[#This Row],[Manual Match]]</f>
        <v>0</v>
      </c>
    </row>
    <row r="190" spans="1:10" ht="17.25" customHeight="1" x14ac:dyDescent="0.25">
      <c r="A190" s="4" t="s">
        <v>16</v>
      </c>
      <c r="B190" s="1" t="s">
        <v>33</v>
      </c>
      <c r="C190" s="1" t="s">
        <v>15</v>
      </c>
      <c r="D190" s="1" t="s">
        <v>24</v>
      </c>
      <c r="E190" s="1">
        <v>0</v>
      </c>
      <c r="F190" s="1">
        <v>0</v>
      </c>
      <c r="G190" s="1">
        <v>0</v>
      </c>
      <c r="H190" s="1">
        <v>0</v>
      </c>
      <c r="I190" s="1">
        <v>0</v>
      </c>
      <c r="J190" s="1">
        <f>Raw_Data[[#This Row],[Quick Match]]+Raw_Data[[#This Row],[Manual Match]]</f>
        <v>0</v>
      </c>
    </row>
    <row r="191" spans="1:10" ht="17.25" customHeight="1" x14ac:dyDescent="0.25">
      <c r="A191" s="4" t="s">
        <v>16</v>
      </c>
      <c r="B191" s="1" t="s">
        <v>34</v>
      </c>
      <c r="C191" s="1" t="s">
        <v>14</v>
      </c>
      <c r="D191" s="1" t="s">
        <v>18</v>
      </c>
      <c r="E191" s="1">
        <v>0</v>
      </c>
      <c r="F191" s="1">
        <v>1</v>
      </c>
      <c r="G191" s="1">
        <v>0</v>
      </c>
      <c r="H191" s="1">
        <v>0</v>
      </c>
      <c r="I191" s="1">
        <v>1</v>
      </c>
      <c r="J191" s="1">
        <f>Raw_Data[[#This Row],[Quick Match]]+Raw_Data[[#This Row],[Manual Match]]</f>
        <v>1</v>
      </c>
    </row>
    <row r="192" spans="1:10" ht="17.25" customHeight="1" x14ac:dyDescent="0.25">
      <c r="A192" s="4" t="s">
        <v>16</v>
      </c>
      <c r="B192" s="1" t="s">
        <v>34</v>
      </c>
      <c r="C192" s="1" t="s">
        <v>14</v>
      </c>
      <c r="D192" s="1" t="s">
        <v>19</v>
      </c>
      <c r="E192" s="1">
        <v>0</v>
      </c>
      <c r="F192" s="1">
        <v>0</v>
      </c>
      <c r="G192" s="1">
        <v>0</v>
      </c>
      <c r="H192" s="1">
        <v>0</v>
      </c>
      <c r="I192" s="1">
        <v>0</v>
      </c>
      <c r="J192" s="1">
        <f>Raw_Data[[#This Row],[Quick Match]]+Raw_Data[[#This Row],[Manual Match]]</f>
        <v>0</v>
      </c>
    </row>
    <row r="193" spans="1:10" ht="17.25" customHeight="1" x14ac:dyDescent="0.25">
      <c r="A193" s="4" t="s">
        <v>16</v>
      </c>
      <c r="B193" s="1" t="s">
        <v>34</v>
      </c>
      <c r="C193" s="1" t="s">
        <v>14</v>
      </c>
      <c r="D193" s="1" t="s">
        <v>20</v>
      </c>
      <c r="E193" s="1">
        <v>0</v>
      </c>
      <c r="F193" s="1">
        <v>0</v>
      </c>
      <c r="G193" s="1">
        <v>0</v>
      </c>
      <c r="H193" s="1">
        <v>0</v>
      </c>
      <c r="I193" s="1">
        <v>0</v>
      </c>
      <c r="J193" s="1">
        <f>Raw_Data[[#This Row],[Quick Match]]+Raw_Data[[#This Row],[Manual Match]]</f>
        <v>0</v>
      </c>
    </row>
    <row r="194" spans="1:10" ht="17.25" customHeight="1" x14ac:dyDescent="0.25">
      <c r="A194" s="4" t="s">
        <v>16</v>
      </c>
      <c r="B194" s="1" t="s">
        <v>34</v>
      </c>
      <c r="C194" s="1" t="s">
        <v>14</v>
      </c>
      <c r="D194" s="1" t="s">
        <v>21</v>
      </c>
      <c r="E194" s="1">
        <v>0</v>
      </c>
      <c r="F194" s="1">
        <v>0</v>
      </c>
      <c r="G194" s="1">
        <v>0</v>
      </c>
      <c r="H194" s="1">
        <v>0</v>
      </c>
      <c r="I194" s="1">
        <v>0</v>
      </c>
      <c r="J194" s="1">
        <f>Raw_Data[[#This Row],[Quick Match]]+Raw_Data[[#This Row],[Manual Match]]</f>
        <v>0</v>
      </c>
    </row>
    <row r="195" spans="1:10" ht="17.25" customHeight="1" x14ac:dyDescent="0.25">
      <c r="A195" s="4" t="s">
        <v>16</v>
      </c>
      <c r="B195" s="1" t="s">
        <v>34</v>
      </c>
      <c r="C195" s="1" t="s">
        <v>14</v>
      </c>
      <c r="D195" s="1" t="s">
        <v>22</v>
      </c>
      <c r="E195" s="1">
        <v>0</v>
      </c>
      <c r="F195" s="1">
        <v>0</v>
      </c>
      <c r="G195" s="1">
        <v>0</v>
      </c>
      <c r="H195" s="1">
        <v>0</v>
      </c>
      <c r="I195" s="1">
        <v>0</v>
      </c>
      <c r="J195" s="1">
        <f>Raw_Data[[#This Row],[Quick Match]]+Raw_Data[[#This Row],[Manual Match]]</f>
        <v>0</v>
      </c>
    </row>
    <row r="196" spans="1:10" ht="17.25" customHeight="1" x14ac:dyDescent="0.25">
      <c r="A196" s="4" t="s">
        <v>16</v>
      </c>
      <c r="B196" s="1" t="s">
        <v>34</v>
      </c>
      <c r="C196" s="1" t="s">
        <v>14</v>
      </c>
      <c r="D196" s="1" t="s">
        <v>23</v>
      </c>
      <c r="E196" s="1">
        <v>0</v>
      </c>
      <c r="F196" s="1">
        <v>0</v>
      </c>
      <c r="G196" s="1">
        <v>0</v>
      </c>
      <c r="H196" s="1">
        <v>0</v>
      </c>
      <c r="I196" s="1">
        <v>0</v>
      </c>
      <c r="J196" s="1">
        <f>Raw_Data[[#This Row],[Quick Match]]+Raw_Data[[#This Row],[Manual Match]]</f>
        <v>0</v>
      </c>
    </row>
    <row r="197" spans="1:10" ht="17.25" customHeight="1" x14ac:dyDescent="0.25">
      <c r="A197" s="4" t="s">
        <v>16</v>
      </c>
      <c r="B197" s="1" t="s">
        <v>34</v>
      </c>
      <c r="C197" s="1" t="s">
        <v>14</v>
      </c>
      <c r="D197" s="1" t="s">
        <v>24</v>
      </c>
      <c r="E197" s="1">
        <v>0</v>
      </c>
      <c r="F197" s="1">
        <v>0</v>
      </c>
      <c r="G197" s="1">
        <v>0</v>
      </c>
      <c r="H197" s="1">
        <v>0</v>
      </c>
      <c r="I197" s="1">
        <v>0</v>
      </c>
      <c r="J197" s="1">
        <f>Raw_Data[[#This Row],[Quick Match]]+Raw_Data[[#This Row],[Manual Match]]</f>
        <v>0</v>
      </c>
    </row>
    <row r="198" spans="1:10" ht="17.25" customHeight="1" x14ac:dyDescent="0.25">
      <c r="A198" s="4" t="s">
        <v>16</v>
      </c>
      <c r="B198" s="1" t="s">
        <v>34</v>
      </c>
      <c r="C198" s="1" t="s">
        <v>25</v>
      </c>
      <c r="D198" s="1" t="s">
        <v>18</v>
      </c>
      <c r="E198" s="1">
        <v>0</v>
      </c>
      <c r="F198" s="1">
        <v>0</v>
      </c>
      <c r="G198" s="1">
        <v>0</v>
      </c>
      <c r="H198" s="1">
        <v>0</v>
      </c>
      <c r="I198" s="1">
        <v>0</v>
      </c>
      <c r="J198" s="1">
        <f>Raw_Data[[#This Row],[Quick Match]]+Raw_Data[[#This Row],[Manual Match]]</f>
        <v>0</v>
      </c>
    </row>
    <row r="199" spans="1:10" ht="17.25" customHeight="1" x14ac:dyDescent="0.25">
      <c r="A199" s="4" t="s">
        <v>16</v>
      </c>
      <c r="B199" s="1" t="s">
        <v>34</v>
      </c>
      <c r="C199" s="1" t="s">
        <v>25</v>
      </c>
      <c r="D199" s="1" t="s">
        <v>19</v>
      </c>
      <c r="E199" s="1">
        <v>1</v>
      </c>
      <c r="F199" s="1">
        <v>0</v>
      </c>
      <c r="G199" s="1">
        <v>0</v>
      </c>
      <c r="H199" s="1">
        <v>0</v>
      </c>
      <c r="I199" s="1">
        <v>1</v>
      </c>
      <c r="J199" s="1">
        <f>Raw_Data[[#This Row],[Quick Match]]+Raw_Data[[#This Row],[Manual Match]]</f>
        <v>1</v>
      </c>
    </row>
    <row r="200" spans="1:10" ht="17.25" customHeight="1" x14ac:dyDescent="0.25">
      <c r="A200" s="4" t="s">
        <v>16</v>
      </c>
      <c r="B200" s="1" t="s">
        <v>34</v>
      </c>
      <c r="C200" s="1" t="s">
        <v>25</v>
      </c>
      <c r="D200" s="1" t="s">
        <v>20</v>
      </c>
      <c r="E200" s="1">
        <v>0</v>
      </c>
      <c r="F200" s="1">
        <v>0</v>
      </c>
      <c r="G200" s="1">
        <v>0</v>
      </c>
      <c r="H200" s="1">
        <v>0</v>
      </c>
      <c r="I200" s="1">
        <v>0</v>
      </c>
      <c r="J200" s="1">
        <f>Raw_Data[[#This Row],[Quick Match]]+Raw_Data[[#This Row],[Manual Match]]</f>
        <v>0</v>
      </c>
    </row>
    <row r="201" spans="1:10" ht="17.25" customHeight="1" x14ac:dyDescent="0.25">
      <c r="A201" s="4" t="s">
        <v>16</v>
      </c>
      <c r="B201" s="1" t="s">
        <v>34</v>
      </c>
      <c r="C201" s="1" t="s">
        <v>25</v>
      </c>
      <c r="D201" s="1" t="s">
        <v>21</v>
      </c>
      <c r="E201" s="1">
        <v>0</v>
      </c>
      <c r="F201" s="1">
        <v>0</v>
      </c>
      <c r="G201" s="1">
        <v>0</v>
      </c>
      <c r="H201" s="1">
        <v>0</v>
      </c>
      <c r="I201" s="1">
        <v>0</v>
      </c>
      <c r="J201" s="1">
        <f>Raw_Data[[#This Row],[Quick Match]]+Raw_Data[[#This Row],[Manual Match]]</f>
        <v>0</v>
      </c>
    </row>
    <row r="202" spans="1:10" ht="17.25" customHeight="1" x14ac:dyDescent="0.25">
      <c r="A202" s="4" t="s">
        <v>16</v>
      </c>
      <c r="B202" s="1" t="s">
        <v>34</v>
      </c>
      <c r="C202" s="1" t="s">
        <v>25</v>
      </c>
      <c r="D202" s="1" t="s">
        <v>22</v>
      </c>
      <c r="E202" s="1">
        <v>0</v>
      </c>
      <c r="F202" s="1">
        <v>0</v>
      </c>
      <c r="G202" s="1">
        <v>0</v>
      </c>
      <c r="H202" s="1">
        <v>0</v>
      </c>
      <c r="I202" s="1">
        <v>0</v>
      </c>
      <c r="J202" s="1">
        <f>Raw_Data[[#This Row],[Quick Match]]+Raw_Data[[#This Row],[Manual Match]]</f>
        <v>0</v>
      </c>
    </row>
    <row r="203" spans="1:10" ht="17.25" customHeight="1" x14ac:dyDescent="0.25">
      <c r="A203" s="4" t="s">
        <v>16</v>
      </c>
      <c r="B203" s="1" t="s">
        <v>34</v>
      </c>
      <c r="C203" s="1" t="s">
        <v>25</v>
      </c>
      <c r="D203" s="1" t="s">
        <v>23</v>
      </c>
      <c r="E203" s="1">
        <v>0</v>
      </c>
      <c r="F203" s="1">
        <v>0</v>
      </c>
      <c r="G203" s="1">
        <v>0</v>
      </c>
      <c r="H203" s="1">
        <v>0</v>
      </c>
      <c r="I203" s="1">
        <v>0</v>
      </c>
      <c r="J203" s="1">
        <f>Raw_Data[[#This Row],[Quick Match]]+Raw_Data[[#This Row],[Manual Match]]</f>
        <v>0</v>
      </c>
    </row>
    <row r="204" spans="1:10" ht="17.25" customHeight="1" x14ac:dyDescent="0.25">
      <c r="A204" s="4" t="s">
        <v>16</v>
      </c>
      <c r="B204" s="1" t="s">
        <v>34</v>
      </c>
      <c r="C204" s="1" t="s">
        <v>25</v>
      </c>
      <c r="D204" s="1" t="s">
        <v>24</v>
      </c>
      <c r="E204" s="1">
        <v>0</v>
      </c>
      <c r="F204" s="1">
        <v>0</v>
      </c>
      <c r="G204" s="1">
        <v>0</v>
      </c>
      <c r="H204" s="1">
        <v>0</v>
      </c>
      <c r="I204" s="1">
        <v>0</v>
      </c>
      <c r="J204" s="1">
        <f>Raw_Data[[#This Row],[Quick Match]]+Raw_Data[[#This Row],[Manual Match]]</f>
        <v>0</v>
      </c>
    </row>
    <row r="205" spans="1:10" ht="17.25" customHeight="1" x14ac:dyDescent="0.25">
      <c r="A205" s="4" t="s">
        <v>16</v>
      </c>
      <c r="B205" s="1" t="s">
        <v>34</v>
      </c>
      <c r="C205" s="1" t="s">
        <v>15</v>
      </c>
      <c r="D205" s="1" t="s">
        <v>18</v>
      </c>
      <c r="E205" s="1">
        <v>0</v>
      </c>
      <c r="F205" s="1">
        <v>0</v>
      </c>
      <c r="G205" s="1">
        <v>0</v>
      </c>
      <c r="H205" s="1">
        <v>0</v>
      </c>
      <c r="I205" s="1">
        <v>0</v>
      </c>
      <c r="J205" s="1">
        <f>Raw_Data[[#This Row],[Quick Match]]+Raw_Data[[#This Row],[Manual Match]]</f>
        <v>0</v>
      </c>
    </row>
    <row r="206" spans="1:10" ht="17.25" customHeight="1" x14ac:dyDescent="0.25">
      <c r="A206" s="4" t="s">
        <v>16</v>
      </c>
      <c r="B206" s="1" t="s">
        <v>34</v>
      </c>
      <c r="C206" s="1" t="s">
        <v>15</v>
      </c>
      <c r="D206" s="1" t="s">
        <v>19</v>
      </c>
      <c r="E206" s="1">
        <v>0</v>
      </c>
      <c r="F206" s="1">
        <v>0</v>
      </c>
      <c r="G206" s="1">
        <v>0</v>
      </c>
      <c r="H206" s="1">
        <v>0</v>
      </c>
      <c r="I206" s="1">
        <v>0</v>
      </c>
      <c r="J206" s="1">
        <f>Raw_Data[[#This Row],[Quick Match]]+Raw_Data[[#This Row],[Manual Match]]</f>
        <v>0</v>
      </c>
    </row>
    <row r="207" spans="1:10" ht="17.25" customHeight="1" x14ac:dyDescent="0.25">
      <c r="A207" s="4" t="s">
        <v>16</v>
      </c>
      <c r="B207" s="1" t="s">
        <v>34</v>
      </c>
      <c r="C207" s="1" t="s">
        <v>15</v>
      </c>
      <c r="D207" s="1" t="s">
        <v>20</v>
      </c>
      <c r="E207" s="1">
        <v>0</v>
      </c>
      <c r="F207" s="1">
        <v>0</v>
      </c>
      <c r="G207" s="1">
        <v>0</v>
      </c>
      <c r="H207" s="1">
        <v>0</v>
      </c>
      <c r="I207" s="1">
        <v>0</v>
      </c>
      <c r="J207" s="1">
        <f>Raw_Data[[#This Row],[Quick Match]]+Raw_Data[[#This Row],[Manual Match]]</f>
        <v>0</v>
      </c>
    </row>
    <row r="208" spans="1:10" ht="17.25" customHeight="1" x14ac:dyDescent="0.25">
      <c r="A208" s="4" t="s">
        <v>16</v>
      </c>
      <c r="B208" s="1" t="s">
        <v>34</v>
      </c>
      <c r="C208" s="1" t="s">
        <v>15</v>
      </c>
      <c r="D208" s="1" t="s">
        <v>21</v>
      </c>
      <c r="E208" s="1">
        <v>0</v>
      </c>
      <c r="F208" s="1">
        <v>0</v>
      </c>
      <c r="G208" s="1">
        <v>0</v>
      </c>
      <c r="H208" s="1">
        <v>0</v>
      </c>
      <c r="I208" s="1">
        <v>0</v>
      </c>
      <c r="J208" s="1">
        <f>Raw_Data[[#This Row],[Quick Match]]+Raw_Data[[#This Row],[Manual Match]]</f>
        <v>0</v>
      </c>
    </row>
    <row r="209" spans="1:10" ht="17.25" customHeight="1" x14ac:dyDescent="0.25">
      <c r="A209" s="4" t="s">
        <v>16</v>
      </c>
      <c r="B209" s="1" t="s">
        <v>34</v>
      </c>
      <c r="C209" s="1" t="s">
        <v>15</v>
      </c>
      <c r="D209" s="1" t="s">
        <v>22</v>
      </c>
      <c r="E209" s="1">
        <v>0</v>
      </c>
      <c r="F209" s="1">
        <v>0</v>
      </c>
      <c r="G209" s="1">
        <v>0</v>
      </c>
      <c r="H209" s="1">
        <v>0</v>
      </c>
      <c r="I209" s="1">
        <v>0</v>
      </c>
      <c r="J209" s="1">
        <f>Raw_Data[[#This Row],[Quick Match]]+Raw_Data[[#This Row],[Manual Match]]</f>
        <v>0</v>
      </c>
    </row>
    <row r="210" spans="1:10" ht="17.25" customHeight="1" x14ac:dyDescent="0.25">
      <c r="A210" s="4" t="s">
        <v>16</v>
      </c>
      <c r="B210" s="1" t="s">
        <v>34</v>
      </c>
      <c r="C210" s="1" t="s">
        <v>15</v>
      </c>
      <c r="D210" s="1" t="s">
        <v>23</v>
      </c>
      <c r="E210" s="1">
        <v>0</v>
      </c>
      <c r="F210" s="1">
        <v>0</v>
      </c>
      <c r="G210" s="1">
        <v>0</v>
      </c>
      <c r="H210" s="1">
        <v>0</v>
      </c>
      <c r="I210" s="1">
        <v>0</v>
      </c>
      <c r="J210" s="1">
        <f>Raw_Data[[#This Row],[Quick Match]]+Raw_Data[[#This Row],[Manual Match]]</f>
        <v>0</v>
      </c>
    </row>
    <row r="211" spans="1:10" ht="17.25" customHeight="1" x14ac:dyDescent="0.25">
      <c r="A211" s="4" t="s">
        <v>16</v>
      </c>
      <c r="B211" s="1" t="s">
        <v>34</v>
      </c>
      <c r="C211" s="1" t="s">
        <v>15</v>
      </c>
      <c r="D211" s="1" t="s">
        <v>24</v>
      </c>
      <c r="E211" s="1">
        <v>0</v>
      </c>
      <c r="F211" s="1">
        <v>0</v>
      </c>
      <c r="G211" s="1">
        <v>0</v>
      </c>
      <c r="H211" s="1">
        <v>0</v>
      </c>
      <c r="I211" s="1">
        <v>0</v>
      </c>
      <c r="J211" s="1">
        <f>Raw_Data[[#This Row],[Quick Match]]+Raw_Data[[#This Row],[Manual Match]]</f>
        <v>0</v>
      </c>
    </row>
    <row r="212" spans="1:10" ht="17.25" customHeight="1" x14ac:dyDescent="0.25">
      <c r="A212" s="4" t="s">
        <v>16</v>
      </c>
      <c r="B212" s="1" t="s">
        <v>35</v>
      </c>
      <c r="C212" s="1" t="s">
        <v>14</v>
      </c>
      <c r="D212" s="1" t="s">
        <v>18</v>
      </c>
      <c r="E212" s="1">
        <v>0</v>
      </c>
      <c r="F212" s="1">
        <v>0</v>
      </c>
      <c r="G212" s="1">
        <v>0</v>
      </c>
      <c r="H212" s="1">
        <v>0</v>
      </c>
      <c r="I212" s="1">
        <v>0</v>
      </c>
      <c r="J212" s="1">
        <f>Raw_Data[[#This Row],[Quick Match]]+Raw_Data[[#This Row],[Manual Match]]</f>
        <v>0</v>
      </c>
    </row>
    <row r="213" spans="1:10" ht="17.25" customHeight="1" x14ac:dyDescent="0.25">
      <c r="A213" s="4" t="s">
        <v>16</v>
      </c>
      <c r="B213" s="1" t="s">
        <v>35</v>
      </c>
      <c r="C213" s="1" t="s">
        <v>14</v>
      </c>
      <c r="D213" s="1" t="s">
        <v>19</v>
      </c>
      <c r="E213" s="1">
        <v>0</v>
      </c>
      <c r="F213" s="1">
        <v>0</v>
      </c>
      <c r="G213" s="1">
        <v>0</v>
      </c>
      <c r="H213" s="1">
        <v>0</v>
      </c>
      <c r="I213" s="1">
        <v>0</v>
      </c>
      <c r="J213" s="1">
        <f>Raw_Data[[#This Row],[Quick Match]]+Raw_Data[[#This Row],[Manual Match]]</f>
        <v>0</v>
      </c>
    </row>
    <row r="214" spans="1:10" ht="17.25" customHeight="1" x14ac:dyDescent="0.25">
      <c r="A214" s="4" t="s">
        <v>16</v>
      </c>
      <c r="B214" s="1" t="s">
        <v>35</v>
      </c>
      <c r="C214" s="1" t="s">
        <v>14</v>
      </c>
      <c r="D214" s="1" t="s">
        <v>20</v>
      </c>
      <c r="E214" s="1">
        <v>0</v>
      </c>
      <c r="F214" s="1">
        <v>0</v>
      </c>
      <c r="G214" s="1">
        <v>0</v>
      </c>
      <c r="H214" s="1">
        <v>0</v>
      </c>
      <c r="I214" s="1">
        <v>0</v>
      </c>
      <c r="J214" s="1">
        <f>Raw_Data[[#This Row],[Quick Match]]+Raw_Data[[#This Row],[Manual Match]]</f>
        <v>0</v>
      </c>
    </row>
    <row r="215" spans="1:10" ht="17.25" customHeight="1" x14ac:dyDescent="0.25">
      <c r="A215" s="4" t="s">
        <v>16</v>
      </c>
      <c r="B215" s="1" t="s">
        <v>35</v>
      </c>
      <c r="C215" s="1" t="s">
        <v>14</v>
      </c>
      <c r="D215" s="1" t="s">
        <v>21</v>
      </c>
      <c r="E215" s="1">
        <v>0</v>
      </c>
      <c r="F215" s="1">
        <v>0</v>
      </c>
      <c r="G215" s="1">
        <v>0</v>
      </c>
      <c r="H215" s="1">
        <v>0</v>
      </c>
      <c r="I215" s="1">
        <v>0</v>
      </c>
      <c r="J215" s="1">
        <f>Raw_Data[[#This Row],[Quick Match]]+Raw_Data[[#This Row],[Manual Match]]</f>
        <v>0</v>
      </c>
    </row>
    <row r="216" spans="1:10" ht="17.25" customHeight="1" x14ac:dyDescent="0.25">
      <c r="A216" s="4" t="s">
        <v>16</v>
      </c>
      <c r="B216" s="1" t="s">
        <v>35</v>
      </c>
      <c r="C216" s="1" t="s">
        <v>14</v>
      </c>
      <c r="D216" s="1" t="s">
        <v>22</v>
      </c>
      <c r="E216" s="1">
        <v>0</v>
      </c>
      <c r="F216" s="1">
        <v>0</v>
      </c>
      <c r="G216" s="1">
        <v>0</v>
      </c>
      <c r="H216" s="1">
        <v>0</v>
      </c>
      <c r="I216" s="1">
        <v>0</v>
      </c>
      <c r="J216" s="1">
        <f>Raw_Data[[#This Row],[Quick Match]]+Raw_Data[[#This Row],[Manual Match]]</f>
        <v>0</v>
      </c>
    </row>
    <row r="217" spans="1:10" ht="17.25" customHeight="1" x14ac:dyDescent="0.25">
      <c r="A217" s="4" t="s">
        <v>16</v>
      </c>
      <c r="B217" s="1" t="s">
        <v>35</v>
      </c>
      <c r="C217" s="1" t="s">
        <v>14</v>
      </c>
      <c r="D217" s="1" t="s">
        <v>23</v>
      </c>
      <c r="E217" s="1">
        <v>0</v>
      </c>
      <c r="F217" s="1">
        <v>1</v>
      </c>
      <c r="G217" s="1">
        <v>0</v>
      </c>
      <c r="H217" s="1">
        <v>0</v>
      </c>
      <c r="I217" s="1">
        <v>1</v>
      </c>
      <c r="J217" s="1">
        <f>Raw_Data[[#This Row],[Quick Match]]+Raw_Data[[#This Row],[Manual Match]]</f>
        <v>1</v>
      </c>
    </row>
    <row r="218" spans="1:10" ht="17.25" customHeight="1" x14ac:dyDescent="0.25">
      <c r="A218" s="4" t="s">
        <v>16</v>
      </c>
      <c r="B218" s="1" t="s">
        <v>35</v>
      </c>
      <c r="C218" s="1" t="s">
        <v>14</v>
      </c>
      <c r="D218" s="1" t="s">
        <v>24</v>
      </c>
      <c r="E218" s="1">
        <v>0</v>
      </c>
      <c r="F218" s="1">
        <v>0</v>
      </c>
      <c r="G218" s="1">
        <v>0</v>
      </c>
      <c r="H218" s="1">
        <v>0</v>
      </c>
      <c r="I218" s="1">
        <v>0</v>
      </c>
      <c r="J218" s="1">
        <f>Raw_Data[[#This Row],[Quick Match]]+Raw_Data[[#This Row],[Manual Match]]</f>
        <v>0</v>
      </c>
    </row>
    <row r="219" spans="1:10" ht="17.25" customHeight="1" x14ac:dyDescent="0.25">
      <c r="A219" s="4" t="s">
        <v>16</v>
      </c>
      <c r="B219" s="1" t="s">
        <v>35</v>
      </c>
      <c r="C219" s="1" t="s">
        <v>25</v>
      </c>
      <c r="D219" s="1" t="s">
        <v>18</v>
      </c>
      <c r="E219" s="1">
        <v>1</v>
      </c>
      <c r="F219" s="1">
        <v>0</v>
      </c>
      <c r="G219" s="1">
        <v>0</v>
      </c>
      <c r="H219" s="1">
        <v>0</v>
      </c>
      <c r="I219" s="1">
        <v>1</v>
      </c>
      <c r="J219" s="1">
        <f>Raw_Data[[#This Row],[Quick Match]]+Raw_Data[[#This Row],[Manual Match]]</f>
        <v>1</v>
      </c>
    </row>
    <row r="220" spans="1:10" ht="17.25" customHeight="1" x14ac:dyDescent="0.25">
      <c r="A220" s="4" t="s">
        <v>16</v>
      </c>
      <c r="B220" s="1" t="s">
        <v>35</v>
      </c>
      <c r="C220" s="1" t="s">
        <v>25</v>
      </c>
      <c r="D220" s="1" t="s">
        <v>19</v>
      </c>
      <c r="E220" s="1">
        <v>0</v>
      </c>
      <c r="F220" s="1">
        <v>1</v>
      </c>
      <c r="G220" s="1">
        <v>0</v>
      </c>
      <c r="H220" s="1">
        <v>0</v>
      </c>
      <c r="I220" s="1">
        <v>1</v>
      </c>
      <c r="J220" s="1">
        <f>Raw_Data[[#This Row],[Quick Match]]+Raw_Data[[#This Row],[Manual Match]]</f>
        <v>1</v>
      </c>
    </row>
    <row r="221" spans="1:10" ht="17.25" customHeight="1" x14ac:dyDescent="0.25">
      <c r="A221" s="4" t="s">
        <v>16</v>
      </c>
      <c r="B221" s="1" t="s">
        <v>35</v>
      </c>
      <c r="C221" s="1" t="s">
        <v>25</v>
      </c>
      <c r="D221" s="1" t="s">
        <v>20</v>
      </c>
      <c r="E221" s="1">
        <v>1</v>
      </c>
      <c r="F221" s="1">
        <v>0</v>
      </c>
      <c r="G221" s="1">
        <v>0</v>
      </c>
      <c r="H221" s="1">
        <v>0</v>
      </c>
      <c r="I221" s="1">
        <v>1</v>
      </c>
      <c r="J221" s="1">
        <f>Raw_Data[[#This Row],[Quick Match]]+Raw_Data[[#This Row],[Manual Match]]</f>
        <v>1</v>
      </c>
    </row>
    <row r="222" spans="1:10" ht="17.25" customHeight="1" x14ac:dyDescent="0.25">
      <c r="A222" s="4" t="s">
        <v>16</v>
      </c>
      <c r="B222" s="1" t="s">
        <v>35</v>
      </c>
      <c r="C222" s="1" t="s">
        <v>25</v>
      </c>
      <c r="D222" s="1" t="s">
        <v>21</v>
      </c>
      <c r="E222" s="1">
        <v>0</v>
      </c>
      <c r="F222" s="1">
        <v>0</v>
      </c>
      <c r="G222" s="1">
        <v>0</v>
      </c>
      <c r="H222" s="1">
        <v>0</v>
      </c>
      <c r="I222" s="1">
        <v>0</v>
      </c>
      <c r="J222" s="1">
        <f>Raw_Data[[#This Row],[Quick Match]]+Raw_Data[[#This Row],[Manual Match]]</f>
        <v>0</v>
      </c>
    </row>
    <row r="223" spans="1:10" ht="17.25" customHeight="1" x14ac:dyDescent="0.25">
      <c r="A223" s="4" t="s">
        <v>16</v>
      </c>
      <c r="B223" s="1" t="s">
        <v>35</v>
      </c>
      <c r="C223" s="1" t="s">
        <v>25</v>
      </c>
      <c r="D223" s="1" t="s">
        <v>22</v>
      </c>
      <c r="E223" s="1">
        <v>0</v>
      </c>
      <c r="F223" s="1">
        <v>0</v>
      </c>
      <c r="G223" s="1">
        <v>0</v>
      </c>
      <c r="H223" s="1">
        <v>0</v>
      </c>
      <c r="I223" s="1">
        <v>0</v>
      </c>
      <c r="J223" s="1">
        <f>Raw_Data[[#This Row],[Quick Match]]+Raw_Data[[#This Row],[Manual Match]]</f>
        <v>0</v>
      </c>
    </row>
    <row r="224" spans="1:10" ht="17.25" customHeight="1" x14ac:dyDescent="0.25">
      <c r="A224" s="4" t="s">
        <v>16</v>
      </c>
      <c r="B224" s="1" t="s">
        <v>35</v>
      </c>
      <c r="C224" s="1" t="s">
        <v>25</v>
      </c>
      <c r="D224" s="1" t="s">
        <v>23</v>
      </c>
      <c r="E224" s="1">
        <v>0</v>
      </c>
      <c r="F224" s="1">
        <v>0</v>
      </c>
      <c r="G224" s="1">
        <v>1</v>
      </c>
      <c r="H224" s="1">
        <v>0</v>
      </c>
      <c r="I224" s="1">
        <v>1</v>
      </c>
      <c r="J224" s="1">
        <f>Raw_Data[[#This Row],[Quick Match]]+Raw_Data[[#This Row],[Manual Match]]</f>
        <v>0</v>
      </c>
    </row>
    <row r="225" spans="1:10" ht="17.25" customHeight="1" x14ac:dyDescent="0.25">
      <c r="A225" s="4" t="s">
        <v>16</v>
      </c>
      <c r="B225" s="1" t="s">
        <v>35</v>
      </c>
      <c r="C225" s="1" t="s">
        <v>25</v>
      </c>
      <c r="D225" s="1" t="s">
        <v>24</v>
      </c>
      <c r="E225" s="1">
        <v>0</v>
      </c>
      <c r="F225" s="1">
        <v>0</v>
      </c>
      <c r="G225" s="1">
        <v>0</v>
      </c>
      <c r="H225" s="1">
        <v>0</v>
      </c>
      <c r="I225" s="1">
        <v>0</v>
      </c>
      <c r="J225" s="1">
        <f>Raw_Data[[#This Row],[Quick Match]]+Raw_Data[[#This Row],[Manual Match]]</f>
        <v>0</v>
      </c>
    </row>
    <row r="226" spans="1:10" ht="17.25" customHeight="1" x14ac:dyDescent="0.25">
      <c r="A226" s="4" t="s">
        <v>16</v>
      </c>
      <c r="B226" s="1" t="s">
        <v>35</v>
      </c>
      <c r="C226" s="1" t="s">
        <v>15</v>
      </c>
      <c r="D226" s="1" t="s">
        <v>18</v>
      </c>
      <c r="E226" s="1">
        <v>0</v>
      </c>
      <c r="F226" s="1">
        <v>0</v>
      </c>
      <c r="G226" s="1">
        <v>0</v>
      </c>
      <c r="H226" s="1">
        <v>0</v>
      </c>
      <c r="I226" s="1">
        <v>0</v>
      </c>
      <c r="J226" s="1">
        <f>Raw_Data[[#This Row],[Quick Match]]+Raw_Data[[#This Row],[Manual Match]]</f>
        <v>0</v>
      </c>
    </row>
    <row r="227" spans="1:10" ht="17.25" customHeight="1" x14ac:dyDescent="0.25">
      <c r="A227" s="4" t="s">
        <v>16</v>
      </c>
      <c r="B227" s="1" t="s">
        <v>35</v>
      </c>
      <c r="C227" s="1" t="s">
        <v>15</v>
      </c>
      <c r="D227" s="1" t="s">
        <v>19</v>
      </c>
      <c r="E227" s="1">
        <v>0</v>
      </c>
      <c r="F227" s="1">
        <v>0</v>
      </c>
      <c r="G227" s="1">
        <v>0</v>
      </c>
      <c r="H227" s="1">
        <v>0</v>
      </c>
      <c r="I227" s="1">
        <v>0</v>
      </c>
      <c r="J227" s="1">
        <f>Raw_Data[[#This Row],[Quick Match]]+Raw_Data[[#This Row],[Manual Match]]</f>
        <v>0</v>
      </c>
    </row>
    <row r="228" spans="1:10" ht="17.25" customHeight="1" x14ac:dyDescent="0.25">
      <c r="A228" s="4" t="s">
        <v>16</v>
      </c>
      <c r="B228" s="1" t="s">
        <v>35</v>
      </c>
      <c r="C228" s="1" t="s">
        <v>15</v>
      </c>
      <c r="D228" s="1" t="s">
        <v>20</v>
      </c>
      <c r="E228" s="1">
        <v>0</v>
      </c>
      <c r="F228" s="1">
        <v>0</v>
      </c>
      <c r="G228" s="1">
        <v>0</v>
      </c>
      <c r="H228" s="1">
        <v>0</v>
      </c>
      <c r="I228" s="1">
        <v>0</v>
      </c>
      <c r="J228" s="1">
        <f>Raw_Data[[#This Row],[Quick Match]]+Raw_Data[[#This Row],[Manual Match]]</f>
        <v>0</v>
      </c>
    </row>
    <row r="229" spans="1:10" ht="17.25" customHeight="1" x14ac:dyDescent="0.25">
      <c r="A229" s="4" t="s">
        <v>16</v>
      </c>
      <c r="B229" s="1" t="s">
        <v>35</v>
      </c>
      <c r="C229" s="1" t="s">
        <v>15</v>
      </c>
      <c r="D229" s="1" t="s">
        <v>21</v>
      </c>
      <c r="E229" s="1">
        <v>0</v>
      </c>
      <c r="F229" s="1">
        <v>0</v>
      </c>
      <c r="G229" s="1">
        <v>0</v>
      </c>
      <c r="H229" s="1">
        <v>0</v>
      </c>
      <c r="I229" s="1">
        <v>0</v>
      </c>
      <c r="J229" s="1">
        <f>Raw_Data[[#This Row],[Quick Match]]+Raw_Data[[#This Row],[Manual Match]]</f>
        <v>0</v>
      </c>
    </row>
    <row r="230" spans="1:10" ht="17.25" customHeight="1" x14ac:dyDescent="0.25">
      <c r="A230" s="4" t="s">
        <v>16</v>
      </c>
      <c r="B230" s="1" t="s">
        <v>35</v>
      </c>
      <c r="C230" s="1" t="s">
        <v>15</v>
      </c>
      <c r="D230" s="1" t="s">
        <v>22</v>
      </c>
      <c r="E230" s="1">
        <v>0</v>
      </c>
      <c r="F230" s="1">
        <v>0</v>
      </c>
      <c r="G230" s="1">
        <v>0</v>
      </c>
      <c r="H230" s="1">
        <v>0</v>
      </c>
      <c r="I230" s="1">
        <v>0</v>
      </c>
      <c r="J230" s="1">
        <f>Raw_Data[[#This Row],[Quick Match]]+Raw_Data[[#This Row],[Manual Match]]</f>
        <v>0</v>
      </c>
    </row>
    <row r="231" spans="1:10" ht="17.25" customHeight="1" x14ac:dyDescent="0.25">
      <c r="A231" s="4" t="s">
        <v>16</v>
      </c>
      <c r="B231" s="1" t="s">
        <v>35</v>
      </c>
      <c r="C231" s="1" t="s">
        <v>15</v>
      </c>
      <c r="D231" s="1" t="s">
        <v>23</v>
      </c>
      <c r="E231" s="1">
        <v>0</v>
      </c>
      <c r="F231" s="1">
        <v>0</v>
      </c>
      <c r="G231" s="1">
        <v>0</v>
      </c>
      <c r="H231" s="1">
        <v>0</v>
      </c>
      <c r="I231" s="1">
        <v>0</v>
      </c>
      <c r="J231" s="1">
        <f>Raw_Data[[#This Row],[Quick Match]]+Raw_Data[[#This Row],[Manual Match]]</f>
        <v>0</v>
      </c>
    </row>
    <row r="232" spans="1:10" ht="17.25" customHeight="1" x14ac:dyDescent="0.25">
      <c r="A232" s="4" t="s">
        <v>16</v>
      </c>
      <c r="B232" s="1" t="s">
        <v>35</v>
      </c>
      <c r="C232" s="1" t="s">
        <v>15</v>
      </c>
      <c r="D232" s="1" t="s">
        <v>24</v>
      </c>
      <c r="E232" s="1">
        <v>0</v>
      </c>
      <c r="F232" s="1">
        <v>0</v>
      </c>
      <c r="G232" s="1">
        <v>0</v>
      </c>
      <c r="H232" s="1">
        <v>0</v>
      </c>
      <c r="I232" s="1">
        <v>0</v>
      </c>
      <c r="J232" s="1">
        <f>Raw_Data[[#This Row],[Quick Match]]+Raw_Data[[#This Row],[Manual Match]]</f>
        <v>0</v>
      </c>
    </row>
    <row r="233" spans="1:10" ht="17.25" customHeight="1" x14ac:dyDescent="0.25">
      <c r="A233" s="4" t="s">
        <v>16</v>
      </c>
      <c r="B233" s="1" t="s">
        <v>36</v>
      </c>
      <c r="C233" s="1" t="s">
        <v>14</v>
      </c>
      <c r="D233" s="1" t="s">
        <v>18</v>
      </c>
      <c r="E233" s="1">
        <v>2</v>
      </c>
      <c r="F233" s="1">
        <v>0</v>
      </c>
      <c r="G233" s="1">
        <v>0</v>
      </c>
      <c r="H233" s="1">
        <v>0</v>
      </c>
      <c r="I233" s="1">
        <v>2</v>
      </c>
      <c r="J233" s="1">
        <f>Raw_Data[[#This Row],[Quick Match]]+Raw_Data[[#This Row],[Manual Match]]</f>
        <v>2</v>
      </c>
    </row>
    <row r="234" spans="1:10" ht="17.25" customHeight="1" x14ac:dyDescent="0.25">
      <c r="A234" s="4" t="s">
        <v>16</v>
      </c>
      <c r="B234" s="1" t="s">
        <v>36</v>
      </c>
      <c r="C234" s="1" t="s">
        <v>14</v>
      </c>
      <c r="D234" s="1" t="s">
        <v>19</v>
      </c>
      <c r="E234" s="1">
        <v>1</v>
      </c>
      <c r="F234" s="1">
        <v>0</v>
      </c>
      <c r="G234" s="1">
        <v>1</v>
      </c>
      <c r="H234" s="1">
        <v>0</v>
      </c>
      <c r="I234" s="1">
        <v>2</v>
      </c>
      <c r="J234" s="1">
        <f>Raw_Data[[#This Row],[Quick Match]]+Raw_Data[[#This Row],[Manual Match]]</f>
        <v>1</v>
      </c>
    </row>
    <row r="235" spans="1:10" ht="17.25" customHeight="1" x14ac:dyDescent="0.25">
      <c r="A235" s="4" t="s">
        <v>16</v>
      </c>
      <c r="B235" s="1" t="s">
        <v>36</v>
      </c>
      <c r="C235" s="1" t="s">
        <v>14</v>
      </c>
      <c r="D235" s="1" t="s">
        <v>20</v>
      </c>
      <c r="E235" s="1">
        <v>0</v>
      </c>
      <c r="F235" s="1">
        <v>0</v>
      </c>
      <c r="G235" s="1">
        <v>0</v>
      </c>
      <c r="H235" s="1">
        <v>0</v>
      </c>
      <c r="I235" s="1">
        <v>0</v>
      </c>
      <c r="J235" s="1">
        <f>Raw_Data[[#This Row],[Quick Match]]+Raw_Data[[#This Row],[Manual Match]]</f>
        <v>0</v>
      </c>
    </row>
    <row r="236" spans="1:10" ht="17.25" customHeight="1" x14ac:dyDescent="0.25">
      <c r="A236" s="4" t="s">
        <v>16</v>
      </c>
      <c r="B236" s="1" t="s">
        <v>36</v>
      </c>
      <c r="C236" s="1" t="s">
        <v>14</v>
      </c>
      <c r="D236" s="1" t="s">
        <v>21</v>
      </c>
      <c r="E236" s="1">
        <v>0</v>
      </c>
      <c r="F236" s="1">
        <v>1</v>
      </c>
      <c r="G236" s="1">
        <v>0</v>
      </c>
      <c r="H236" s="1">
        <v>0</v>
      </c>
      <c r="I236" s="1">
        <v>1</v>
      </c>
      <c r="J236" s="1">
        <f>Raw_Data[[#This Row],[Quick Match]]+Raw_Data[[#This Row],[Manual Match]]</f>
        <v>1</v>
      </c>
    </row>
    <row r="237" spans="1:10" ht="17.25" customHeight="1" x14ac:dyDescent="0.25">
      <c r="A237" s="4" t="s">
        <v>16</v>
      </c>
      <c r="B237" s="1" t="s">
        <v>36</v>
      </c>
      <c r="C237" s="1" t="s">
        <v>14</v>
      </c>
      <c r="D237" s="1" t="s">
        <v>22</v>
      </c>
      <c r="E237" s="1">
        <v>0</v>
      </c>
      <c r="F237" s="1">
        <v>2</v>
      </c>
      <c r="G237" s="1">
        <v>0</v>
      </c>
      <c r="H237" s="1">
        <v>0</v>
      </c>
      <c r="I237" s="1">
        <v>2</v>
      </c>
      <c r="J237" s="1">
        <f>Raw_Data[[#This Row],[Quick Match]]+Raw_Data[[#This Row],[Manual Match]]</f>
        <v>2</v>
      </c>
    </row>
    <row r="238" spans="1:10" ht="17.25" customHeight="1" x14ac:dyDescent="0.25">
      <c r="A238" s="4" t="s">
        <v>16</v>
      </c>
      <c r="B238" s="1" t="s">
        <v>36</v>
      </c>
      <c r="C238" s="1" t="s">
        <v>14</v>
      </c>
      <c r="D238" s="1" t="s">
        <v>23</v>
      </c>
      <c r="E238" s="1">
        <v>0</v>
      </c>
      <c r="F238" s="1">
        <v>0</v>
      </c>
      <c r="G238" s="1">
        <v>0</v>
      </c>
      <c r="H238" s="1">
        <v>0</v>
      </c>
      <c r="I238" s="1">
        <v>0</v>
      </c>
      <c r="J238" s="1">
        <f>Raw_Data[[#This Row],[Quick Match]]+Raw_Data[[#This Row],[Manual Match]]</f>
        <v>0</v>
      </c>
    </row>
    <row r="239" spans="1:10" ht="17.25" customHeight="1" x14ac:dyDescent="0.25">
      <c r="A239" s="4" t="s">
        <v>16</v>
      </c>
      <c r="B239" s="1" t="s">
        <v>36</v>
      </c>
      <c r="C239" s="1" t="s">
        <v>14</v>
      </c>
      <c r="D239" s="1" t="s">
        <v>24</v>
      </c>
      <c r="E239" s="1">
        <v>0</v>
      </c>
      <c r="F239" s="1">
        <v>0</v>
      </c>
      <c r="G239" s="1">
        <v>0</v>
      </c>
      <c r="H239" s="1">
        <v>0</v>
      </c>
      <c r="I239" s="1">
        <v>0</v>
      </c>
      <c r="J239" s="1">
        <f>Raw_Data[[#This Row],[Quick Match]]+Raw_Data[[#This Row],[Manual Match]]</f>
        <v>0</v>
      </c>
    </row>
    <row r="240" spans="1:10" ht="17.25" customHeight="1" x14ac:dyDescent="0.25">
      <c r="A240" s="4" t="s">
        <v>16</v>
      </c>
      <c r="B240" s="1" t="s">
        <v>36</v>
      </c>
      <c r="C240" s="1" t="s">
        <v>25</v>
      </c>
      <c r="D240" s="1" t="s">
        <v>18</v>
      </c>
      <c r="E240" s="1">
        <v>0</v>
      </c>
      <c r="F240" s="1">
        <v>0</v>
      </c>
      <c r="G240" s="1">
        <v>0</v>
      </c>
      <c r="H240" s="1">
        <v>0</v>
      </c>
      <c r="I240" s="1">
        <v>0</v>
      </c>
      <c r="J240" s="1">
        <f>Raw_Data[[#This Row],[Quick Match]]+Raw_Data[[#This Row],[Manual Match]]</f>
        <v>0</v>
      </c>
    </row>
    <row r="241" spans="1:10" ht="17.25" customHeight="1" x14ac:dyDescent="0.25">
      <c r="A241" s="4" t="s">
        <v>16</v>
      </c>
      <c r="B241" s="1" t="s">
        <v>36</v>
      </c>
      <c r="C241" s="1" t="s">
        <v>25</v>
      </c>
      <c r="D241" s="1" t="s">
        <v>19</v>
      </c>
      <c r="E241" s="1">
        <v>0</v>
      </c>
      <c r="F241" s="1">
        <v>0</v>
      </c>
      <c r="G241" s="1">
        <v>0</v>
      </c>
      <c r="H241" s="1">
        <v>0</v>
      </c>
      <c r="I241" s="1">
        <v>0</v>
      </c>
      <c r="J241" s="1">
        <f>Raw_Data[[#This Row],[Quick Match]]+Raw_Data[[#This Row],[Manual Match]]</f>
        <v>0</v>
      </c>
    </row>
    <row r="242" spans="1:10" ht="17.25" customHeight="1" x14ac:dyDescent="0.25">
      <c r="A242" s="4" t="s">
        <v>16</v>
      </c>
      <c r="B242" s="1" t="s">
        <v>36</v>
      </c>
      <c r="C242" s="1" t="s">
        <v>25</v>
      </c>
      <c r="D242" s="1" t="s">
        <v>20</v>
      </c>
      <c r="E242" s="1">
        <v>0</v>
      </c>
      <c r="F242" s="1">
        <v>0</v>
      </c>
      <c r="G242" s="1">
        <v>0</v>
      </c>
      <c r="H242" s="1">
        <v>0</v>
      </c>
      <c r="I242" s="1">
        <v>0</v>
      </c>
      <c r="J242" s="1">
        <f>Raw_Data[[#This Row],[Quick Match]]+Raw_Data[[#This Row],[Manual Match]]</f>
        <v>0</v>
      </c>
    </row>
    <row r="243" spans="1:10" ht="17.25" customHeight="1" x14ac:dyDescent="0.25">
      <c r="A243" s="4" t="s">
        <v>16</v>
      </c>
      <c r="B243" s="1" t="s">
        <v>36</v>
      </c>
      <c r="C243" s="1" t="s">
        <v>25</v>
      </c>
      <c r="D243" s="1" t="s">
        <v>21</v>
      </c>
      <c r="E243" s="1">
        <v>0</v>
      </c>
      <c r="F243" s="1">
        <v>1</v>
      </c>
      <c r="G243" s="1">
        <v>0</v>
      </c>
      <c r="H243" s="1">
        <v>0</v>
      </c>
      <c r="I243" s="1">
        <v>1</v>
      </c>
      <c r="J243" s="1">
        <f>Raw_Data[[#This Row],[Quick Match]]+Raw_Data[[#This Row],[Manual Match]]</f>
        <v>1</v>
      </c>
    </row>
    <row r="244" spans="1:10" ht="17.25" customHeight="1" x14ac:dyDescent="0.25">
      <c r="A244" s="4" t="s">
        <v>16</v>
      </c>
      <c r="B244" s="1" t="s">
        <v>36</v>
      </c>
      <c r="C244" s="1" t="s">
        <v>25</v>
      </c>
      <c r="D244" s="1" t="s">
        <v>22</v>
      </c>
      <c r="E244" s="1">
        <v>0</v>
      </c>
      <c r="F244" s="1">
        <v>1</v>
      </c>
      <c r="G244" s="1">
        <v>0</v>
      </c>
      <c r="H244" s="1">
        <v>0</v>
      </c>
      <c r="I244" s="1">
        <v>1</v>
      </c>
      <c r="J244" s="1">
        <f>Raw_Data[[#This Row],[Quick Match]]+Raw_Data[[#This Row],[Manual Match]]</f>
        <v>1</v>
      </c>
    </row>
    <row r="245" spans="1:10" ht="17.25" customHeight="1" x14ac:dyDescent="0.25">
      <c r="A245" s="4" t="s">
        <v>16</v>
      </c>
      <c r="B245" s="1" t="s">
        <v>36</v>
      </c>
      <c r="C245" s="1" t="s">
        <v>25</v>
      </c>
      <c r="D245" s="1" t="s">
        <v>23</v>
      </c>
      <c r="E245" s="1">
        <v>0</v>
      </c>
      <c r="F245" s="1">
        <v>0</v>
      </c>
      <c r="G245" s="1">
        <v>0</v>
      </c>
      <c r="H245" s="1">
        <v>0</v>
      </c>
      <c r="I245" s="1">
        <v>0</v>
      </c>
      <c r="J245" s="1">
        <f>Raw_Data[[#This Row],[Quick Match]]+Raw_Data[[#This Row],[Manual Match]]</f>
        <v>0</v>
      </c>
    </row>
    <row r="246" spans="1:10" ht="17.25" customHeight="1" x14ac:dyDescent="0.25">
      <c r="A246" s="4" t="s">
        <v>16</v>
      </c>
      <c r="B246" s="1" t="s">
        <v>36</v>
      </c>
      <c r="C246" s="1" t="s">
        <v>25</v>
      </c>
      <c r="D246" s="1" t="s">
        <v>24</v>
      </c>
      <c r="E246" s="1">
        <v>0</v>
      </c>
      <c r="F246" s="1">
        <v>0</v>
      </c>
      <c r="G246" s="1">
        <v>0</v>
      </c>
      <c r="H246" s="1">
        <v>0</v>
      </c>
      <c r="I246" s="1">
        <v>0</v>
      </c>
      <c r="J246" s="1">
        <f>Raw_Data[[#This Row],[Quick Match]]+Raw_Data[[#This Row],[Manual Match]]</f>
        <v>0</v>
      </c>
    </row>
    <row r="247" spans="1:10" ht="17.25" customHeight="1" x14ac:dyDescent="0.25">
      <c r="A247" s="4" t="s">
        <v>16</v>
      </c>
      <c r="B247" s="1" t="s">
        <v>36</v>
      </c>
      <c r="C247" s="1" t="s">
        <v>15</v>
      </c>
      <c r="D247" s="1" t="s">
        <v>18</v>
      </c>
      <c r="E247" s="1">
        <v>1</v>
      </c>
      <c r="F247" s="1">
        <v>0</v>
      </c>
      <c r="G247" s="1">
        <v>0</v>
      </c>
      <c r="H247" s="1">
        <v>0</v>
      </c>
      <c r="I247" s="1">
        <v>1</v>
      </c>
      <c r="J247" s="1">
        <f>Raw_Data[[#This Row],[Quick Match]]+Raw_Data[[#This Row],[Manual Match]]</f>
        <v>1</v>
      </c>
    </row>
    <row r="248" spans="1:10" ht="17.25" customHeight="1" x14ac:dyDescent="0.25">
      <c r="A248" s="4" t="s">
        <v>16</v>
      </c>
      <c r="B248" s="1" t="s">
        <v>36</v>
      </c>
      <c r="C248" s="1" t="s">
        <v>15</v>
      </c>
      <c r="D248" s="1" t="s">
        <v>19</v>
      </c>
      <c r="E248" s="1">
        <v>0</v>
      </c>
      <c r="F248" s="1">
        <v>0</v>
      </c>
      <c r="G248" s="1">
        <v>0</v>
      </c>
      <c r="H248" s="1">
        <v>0</v>
      </c>
      <c r="I248" s="1">
        <v>0</v>
      </c>
      <c r="J248" s="1">
        <f>Raw_Data[[#This Row],[Quick Match]]+Raw_Data[[#This Row],[Manual Match]]</f>
        <v>0</v>
      </c>
    </row>
    <row r="249" spans="1:10" ht="17.25" customHeight="1" x14ac:dyDescent="0.25">
      <c r="A249" s="4" t="s">
        <v>16</v>
      </c>
      <c r="B249" s="1" t="s">
        <v>36</v>
      </c>
      <c r="C249" s="1" t="s">
        <v>15</v>
      </c>
      <c r="D249" s="1" t="s">
        <v>20</v>
      </c>
      <c r="E249" s="1">
        <v>1</v>
      </c>
      <c r="F249" s="1">
        <v>0</v>
      </c>
      <c r="G249" s="1">
        <v>0</v>
      </c>
      <c r="H249" s="1">
        <v>0</v>
      </c>
      <c r="I249" s="1">
        <v>1</v>
      </c>
      <c r="J249" s="1">
        <f>Raw_Data[[#This Row],[Quick Match]]+Raw_Data[[#This Row],[Manual Match]]</f>
        <v>1</v>
      </c>
    </row>
    <row r="250" spans="1:10" ht="17.25" customHeight="1" x14ac:dyDescent="0.25">
      <c r="A250" s="4" t="s">
        <v>16</v>
      </c>
      <c r="B250" s="1" t="s">
        <v>36</v>
      </c>
      <c r="C250" s="1" t="s">
        <v>15</v>
      </c>
      <c r="D250" s="1" t="s">
        <v>21</v>
      </c>
      <c r="E250" s="1">
        <v>1</v>
      </c>
      <c r="F250" s="1">
        <v>0</v>
      </c>
      <c r="G250" s="1">
        <v>0</v>
      </c>
      <c r="H250" s="1">
        <v>0</v>
      </c>
      <c r="I250" s="1">
        <v>1</v>
      </c>
      <c r="J250" s="1">
        <f>Raw_Data[[#This Row],[Quick Match]]+Raw_Data[[#This Row],[Manual Match]]</f>
        <v>1</v>
      </c>
    </row>
    <row r="251" spans="1:10" ht="17.25" customHeight="1" x14ac:dyDescent="0.25">
      <c r="A251" s="4" t="s">
        <v>16</v>
      </c>
      <c r="B251" s="1" t="s">
        <v>36</v>
      </c>
      <c r="C251" s="1" t="s">
        <v>15</v>
      </c>
      <c r="D251" s="1" t="s">
        <v>22</v>
      </c>
      <c r="E251" s="1">
        <v>1</v>
      </c>
      <c r="F251" s="1">
        <v>0</v>
      </c>
      <c r="G251" s="1">
        <v>1</v>
      </c>
      <c r="H251" s="1">
        <v>0</v>
      </c>
      <c r="I251" s="1">
        <v>2</v>
      </c>
      <c r="J251" s="1">
        <f>Raw_Data[[#This Row],[Quick Match]]+Raw_Data[[#This Row],[Manual Match]]</f>
        <v>1</v>
      </c>
    </row>
    <row r="252" spans="1:10" ht="17.25" customHeight="1" x14ac:dyDescent="0.25">
      <c r="A252" s="4" t="s">
        <v>16</v>
      </c>
      <c r="B252" s="1" t="s">
        <v>36</v>
      </c>
      <c r="C252" s="1" t="s">
        <v>15</v>
      </c>
      <c r="D252" s="1" t="s">
        <v>23</v>
      </c>
      <c r="E252" s="1">
        <v>0</v>
      </c>
      <c r="F252" s="1">
        <v>0</v>
      </c>
      <c r="G252" s="1">
        <v>0</v>
      </c>
      <c r="H252" s="1">
        <v>0</v>
      </c>
      <c r="I252" s="1">
        <v>0</v>
      </c>
      <c r="J252" s="1">
        <f>Raw_Data[[#This Row],[Quick Match]]+Raw_Data[[#This Row],[Manual Match]]</f>
        <v>0</v>
      </c>
    </row>
    <row r="253" spans="1:10" ht="17.25" customHeight="1" x14ac:dyDescent="0.25">
      <c r="A253" s="4" t="s">
        <v>16</v>
      </c>
      <c r="B253" s="1" t="s">
        <v>36</v>
      </c>
      <c r="C253" s="1" t="s">
        <v>15</v>
      </c>
      <c r="D253" s="1" t="s">
        <v>24</v>
      </c>
      <c r="E253" s="1">
        <v>0</v>
      </c>
      <c r="F253" s="1">
        <v>0</v>
      </c>
      <c r="G253" s="1">
        <v>0</v>
      </c>
      <c r="H253" s="1">
        <v>0</v>
      </c>
      <c r="I253" s="1">
        <v>0</v>
      </c>
      <c r="J253" s="1">
        <f>Raw_Data[[#This Row],[Quick Match]]+Raw_Data[[#This Row],[Manual Match]]</f>
        <v>0</v>
      </c>
    </row>
    <row r="254" spans="1:10" ht="17.25" customHeight="1" x14ac:dyDescent="0.25">
      <c r="A254" s="4" t="s">
        <v>16</v>
      </c>
      <c r="B254" s="1" t="s">
        <v>37</v>
      </c>
      <c r="C254" s="1" t="s">
        <v>14</v>
      </c>
      <c r="D254" s="1" t="s">
        <v>18</v>
      </c>
      <c r="E254" s="1">
        <v>0</v>
      </c>
      <c r="F254" s="1">
        <v>0</v>
      </c>
      <c r="G254" s="1">
        <v>0</v>
      </c>
      <c r="H254" s="1">
        <v>0</v>
      </c>
      <c r="I254" s="1">
        <v>0</v>
      </c>
      <c r="J254" s="1">
        <f>Raw_Data[[#This Row],[Quick Match]]+Raw_Data[[#This Row],[Manual Match]]</f>
        <v>0</v>
      </c>
    </row>
    <row r="255" spans="1:10" ht="17.25" customHeight="1" x14ac:dyDescent="0.25">
      <c r="A255" s="4" t="s">
        <v>16</v>
      </c>
      <c r="B255" s="1" t="s">
        <v>37</v>
      </c>
      <c r="C255" s="1" t="s">
        <v>14</v>
      </c>
      <c r="D255" s="1" t="s">
        <v>19</v>
      </c>
      <c r="E255" s="1">
        <v>0</v>
      </c>
      <c r="F255" s="1">
        <v>0</v>
      </c>
      <c r="G255" s="1">
        <v>0</v>
      </c>
      <c r="H255" s="1">
        <v>0</v>
      </c>
      <c r="I255" s="1">
        <v>0</v>
      </c>
      <c r="J255" s="1">
        <f>Raw_Data[[#This Row],[Quick Match]]+Raw_Data[[#This Row],[Manual Match]]</f>
        <v>0</v>
      </c>
    </row>
    <row r="256" spans="1:10" ht="17.25" customHeight="1" x14ac:dyDescent="0.25">
      <c r="A256" s="4" t="s">
        <v>16</v>
      </c>
      <c r="B256" s="1" t="s">
        <v>37</v>
      </c>
      <c r="C256" s="1" t="s">
        <v>14</v>
      </c>
      <c r="D256" s="1" t="s">
        <v>20</v>
      </c>
      <c r="E256" s="1">
        <v>0</v>
      </c>
      <c r="F256" s="1">
        <v>0</v>
      </c>
      <c r="G256" s="1">
        <v>0</v>
      </c>
      <c r="H256" s="1">
        <v>0</v>
      </c>
      <c r="I256" s="1">
        <v>0</v>
      </c>
      <c r="J256" s="1">
        <f>Raw_Data[[#This Row],[Quick Match]]+Raw_Data[[#This Row],[Manual Match]]</f>
        <v>0</v>
      </c>
    </row>
    <row r="257" spans="1:10" ht="17.25" customHeight="1" x14ac:dyDescent="0.25">
      <c r="A257" s="4" t="s">
        <v>16</v>
      </c>
      <c r="B257" s="1" t="s">
        <v>37</v>
      </c>
      <c r="C257" s="1" t="s">
        <v>14</v>
      </c>
      <c r="D257" s="1" t="s">
        <v>21</v>
      </c>
      <c r="E257" s="1">
        <v>0</v>
      </c>
      <c r="F257" s="1">
        <v>0</v>
      </c>
      <c r="G257" s="1">
        <v>0</v>
      </c>
      <c r="H257" s="1">
        <v>0</v>
      </c>
      <c r="I257" s="1">
        <v>0</v>
      </c>
      <c r="J257" s="1">
        <f>Raw_Data[[#This Row],[Quick Match]]+Raw_Data[[#This Row],[Manual Match]]</f>
        <v>0</v>
      </c>
    </row>
    <row r="258" spans="1:10" ht="17.25" customHeight="1" x14ac:dyDescent="0.25">
      <c r="A258" s="4" t="s">
        <v>16</v>
      </c>
      <c r="B258" s="1" t="s">
        <v>37</v>
      </c>
      <c r="C258" s="1" t="s">
        <v>14</v>
      </c>
      <c r="D258" s="1" t="s">
        <v>22</v>
      </c>
      <c r="E258" s="1">
        <v>0</v>
      </c>
      <c r="F258" s="1">
        <v>0</v>
      </c>
      <c r="G258" s="1">
        <v>0</v>
      </c>
      <c r="H258" s="1">
        <v>0</v>
      </c>
      <c r="I258" s="1">
        <v>0</v>
      </c>
      <c r="J258" s="1">
        <f>Raw_Data[[#This Row],[Quick Match]]+Raw_Data[[#This Row],[Manual Match]]</f>
        <v>0</v>
      </c>
    </row>
    <row r="259" spans="1:10" ht="17.25" customHeight="1" x14ac:dyDescent="0.25">
      <c r="A259" s="4" t="s">
        <v>16</v>
      </c>
      <c r="B259" s="1" t="s">
        <v>37</v>
      </c>
      <c r="C259" s="1" t="s">
        <v>14</v>
      </c>
      <c r="D259" s="1" t="s">
        <v>23</v>
      </c>
      <c r="E259" s="1">
        <v>0</v>
      </c>
      <c r="F259" s="1">
        <v>0</v>
      </c>
      <c r="G259" s="1">
        <v>1</v>
      </c>
      <c r="H259" s="1">
        <v>0</v>
      </c>
      <c r="I259" s="1">
        <v>1</v>
      </c>
      <c r="J259" s="1">
        <f>Raw_Data[[#This Row],[Quick Match]]+Raw_Data[[#This Row],[Manual Match]]</f>
        <v>0</v>
      </c>
    </row>
    <row r="260" spans="1:10" ht="17.25" customHeight="1" x14ac:dyDescent="0.25">
      <c r="A260" s="4" t="s">
        <v>16</v>
      </c>
      <c r="B260" s="1" t="s">
        <v>37</v>
      </c>
      <c r="C260" s="1" t="s">
        <v>14</v>
      </c>
      <c r="D260" s="1" t="s">
        <v>24</v>
      </c>
      <c r="E260" s="1">
        <v>0</v>
      </c>
      <c r="F260" s="1">
        <v>0</v>
      </c>
      <c r="G260" s="1">
        <v>0</v>
      </c>
      <c r="H260" s="1">
        <v>0</v>
      </c>
      <c r="I260" s="1">
        <v>0</v>
      </c>
      <c r="J260" s="1">
        <f>Raw_Data[[#This Row],[Quick Match]]+Raw_Data[[#This Row],[Manual Match]]</f>
        <v>0</v>
      </c>
    </row>
    <row r="261" spans="1:10" ht="17.25" customHeight="1" x14ac:dyDescent="0.25">
      <c r="A261" s="4" t="s">
        <v>16</v>
      </c>
      <c r="B261" s="1" t="s">
        <v>37</v>
      </c>
      <c r="C261" s="1" t="s">
        <v>25</v>
      </c>
      <c r="D261" s="1" t="s">
        <v>18</v>
      </c>
      <c r="E261" s="1">
        <v>0</v>
      </c>
      <c r="F261" s="1">
        <v>0</v>
      </c>
      <c r="G261" s="1">
        <v>0</v>
      </c>
      <c r="H261" s="1">
        <v>0</v>
      </c>
      <c r="I261" s="1">
        <v>0</v>
      </c>
      <c r="J261" s="1">
        <f>Raw_Data[[#This Row],[Quick Match]]+Raw_Data[[#This Row],[Manual Match]]</f>
        <v>0</v>
      </c>
    </row>
    <row r="262" spans="1:10" ht="17.25" customHeight="1" x14ac:dyDescent="0.25">
      <c r="A262" s="4" t="s">
        <v>16</v>
      </c>
      <c r="B262" s="1" t="s">
        <v>37</v>
      </c>
      <c r="C262" s="1" t="s">
        <v>25</v>
      </c>
      <c r="D262" s="1" t="s">
        <v>19</v>
      </c>
      <c r="E262" s="1">
        <v>0</v>
      </c>
      <c r="F262" s="1">
        <v>0</v>
      </c>
      <c r="G262" s="1">
        <v>0</v>
      </c>
      <c r="H262" s="1">
        <v>0</v>
      </c>
      <c r="I262" s="1">
        <v>0</v>
      </c>
      <c r="J262" s="1">
        <f>Raw_Data[[#This Row],[Quick Match]]+Raw_Data[[#This Row],[Manual Match]]</f>
        <v>0</v>
      </c>
    </row>
    <row r="263" spans="1:10" ht="17.25" customHeight="1" x14ac:dyDescent="0.25">
      <c r="A263" s="4" t="s">
        <v>16</v>
      </c>
      <c r="B263" s="1" t="s">
        <v>37</v>
      </c>
      <c r="C263" s="1" t="s">
        <v>25</v>
      </c>
      <c r="D263" s="1" t="s">
        <v>20</v>
      </c>
      <c r="E263" s="1">
        <v>0</v>
      </c>
      <c r="F263" s="1">
        <v>0</v>
      </c>
      <c r="G263" s="1">
        <v>0</v>
      </c>
      <c r="H263" s="1">
        <v>0</v>
      </c>
      <c r="I263" s="1">
        <v>0</v>
      </c>
      <c r="J263" s="1">
        <f>Raw_Data[[#This Row],[Quick Match]]+Raw_Data[[#This Row],[Manual Match]]</f>
        <v>0</v>
      </c>
    </row>
    <row r="264" spans="1:10" ht="17.25" customHeight="1" x14ac:dyDescent="0.25">
      <c r="A264" s="4" t="s">
        <v>16</v>
      </c>
      <c r="B264" s="1" t="s">
        <v>37</v>
      </c>
      <c r="C264" s="1" t="s">
        <v>25</v>
      </c>
      <c r="D264" s="1" t="s">
        <v>21</v>
      </c>
      <c r="E264" s="1">
        <v>0</v>
      </c>
      <c r="F264" s="1">
        <v>0</v>
      </c>
      <c r="G264" s="1">
        <v>0</v>
      </c>
      <c r="H264" s="1">
        <v>0</v>
      </c>
      <c r="I264" s="1">
        <v>0</v>
      </c>
      <c r="J264" s="1">
        <f>Raw_Data[[#This Row],[Quick Match]]+Raw_Data[[#This Row],[Manual Match]]</f>
        <v>0</v>
      </c>
    </row>
    <row r="265" spans="1:10" ht="17.25" customHeight="1" x14ac:dyDescent="0.25">
      <c r="A265" s="4" t="s">
        <v>16</v>
      </c>
      <c r="B265" s="1" t="s">
        <v>37</v>
      </c>
      <c r="C265" s="1" t="s">
        <v>25</v>
      </c>
      <c r="D265" s="1" t="s">
        <v>22</v>
      </c>
      <c r="E265" s="1">
        <v>0</v>
      </c>
      <c r="F265" s="1">
        <v>0</v>
      </c>
      <c r="G265" s="1">
        <v>1</v>
      </c>
      <c r="H265" s="1">
        <v>0</v>
      </c>
      <c r="I265" s="1">
        <v>1</v>
      </c>
      <c r="J265" s="1">
        <f>Raw_Data[[#This Row],[Quick Match]]+Raw_Data[[#This Row],[Manual Match]]</f>
        <v>0</v>
      </c>
    </row>
    <row r="266" spans="1:10" ht="17.25" customHeight="1" x14ac:dyDescent="0.25">
      <c r="A266" s="4" t="s">
        <v>16</v>
      </c>
      <c r="B266" s="1" t="s">
        <v>37</v>
      </c>
      <c r="C266" s="1" t="s">
        <v>25</v>
      </c>
      <c r="D266" s="1" t="s">
        <v>23</v>
      </c>
      <c r="E266" s="1">
        <v>0</v>
      </c>
      <c r="F266" s="1">
        <v>0</v>
      </c>
      <c r="G266" s="1">
        <v>1</v>
      </c>
      <c r="H266" s="1">
        <v>0</v>
      </c>
      <c r="I266" s="1">
        <v>1</v>
      </c>
      <c r="J266" s="1">
        <f>Raw_Data[[#This Row],[Quick Match]]+Raw_Data[[#This Row],[Manual Match]]</f>
        <v>0</v>
      </c>
    </row>
    <row r="267" spans="1:10" ht="17.25" customHeight="1" x14ac:dyDescent="0.25">
      <c r="A267" s="4" t="s">
        <v>16</v>
      </c>
      <c r="B267" s="1" t="s">
        <v>37</v>
      </c>
      <c r="C267" s="1" t="s">
        <v>25</v>
      </c>
      <c r="D267" s="1" t="s">
        <v>24</v>
      </c>
      <c r="E267" s="1">
        <v>0</v>
      </c>
      <c r="F267" s="1">
        <v>0</v>
      </c>
      <c r="G267" s="1">
        <v>0</v>
      </c>
      <c r="H267" s="1">
        <v>0</v>
      </c>
      <c r="I267" s="1">
        <v>0</v>
      </c>
      <c r="J267" s="1">
        <f>Raw_Data[[#This Row],[Quick Match]]+Raw_Data[[#This Row],[Manual Match]]</f>
        <v>0</v>
      </c>
    </row>
    <row r="268" spans="1:10" ht="17.25" customHeight="1" x14ac:dyDescent="0.25">
      <c r="A268" s="4" t="s">
        <v>16</v>
      </c>
      <c r="B268" s="1" t="s">
        <v>37</v>
      </c>
      <c r="C268" s="1" t="s">
        <v>15</v>
      </c>
      <c r="D268" s="1" t="s">
        <v>18</v>
      </c>
      <c r="E268" s="1">
        <v>0</v>
      </c>
      <c r="F268" s="1">
        <v>0</v>
      </c>
      <c r="G268" s="1">
        <v>0</v>
      </c>
      <c r="H268" s="1">
        <v>0</v>
      </c>
      <c r="I268" s="1">
        <v>0</v>
      </c>
      <c r="J268" s="1">
        <f>Raw_Data[[#This Row],[Quick Match]]+Raw_Data[[#This Row],[Manual Match]]</f>
        <v>0</v>
      </c>
    </row>
    <row r="269" spans="1:10" ht="17.25" customHeight="1" x14ac:dyDescent="0.25">
      <c r="A269" s="4" t="s">
        <v>16</v>
      </c>
      <c r="B269" s="1" t="s">
        <v>37</v>
      </c>
      <c r="C269" s="1" t="s">
        <v>15</v>
      </c>
      <c r="D269" s="1" t="s">
        <v>19</v>
      </c>
      <c r="E269" s="1">
        <v>0</v>
      </c>
      <c r="F269" s="1">
        <v>0</v>
      </c>
      <c r="G269" s="1">
        <v>0</v>
      </c>
      <c r="H269" s="1">
        <v>0</v>
      </c>
      <c r="I269" s="1">
        <v>0</v>
      </c>
      <c r="J269" s="1">
        <f>Raw_Data[[#This Row],[Quick Match]]+Raw_Data[[#This Row],[Manual Match]]</f>
        <v>0</v>
      </c>
    </row>
    <row r="270" spans="1:10" ht="17.25" customHeight="1" x14ac:dyDescent="0.25">
      <c r="A270" s="4" t="s">
        <v>16</v>
      </c>
      <c r="B270" s="1" t="s">
        <v>37</v>
      </c>
      <c r="C270" s="1" t="s">
        <v>15</v>
      </c>
      <c r="D270" s="1" t="s">
        <v>20</v>
      </c>
      <c r="E270" s="1">
        <v>0</v>
      </c>
      <c r="F270" s="1">
        <v>1</v>
      </c>
      <c r="G270" s="1">
        <v>0</v>
      </c>
      <c r="H270" s="1">
        <v>0</v>
      </c>
      <c r="I270" s="1">
        <v>1</v>
      </c>
      <c r="J270" s="1">
        <f>Raw_Data[[#This Row],[Quick Match]]+Raw_Data[[#This Row],[Manual Match]]</f>
        <v>1</v>
      </c>
    </row>
    <row r="271" spans="1:10" ht="17.25" customHeight="1" x14ac:dyDescent="0.25">
      <c r="A271" s="4" t="s">
        <v>16</v>
      </c>
      <c r="B271" s="1" t="s">
        <v>37</v>
      </c>
      <c r="C271" s="1" t="s">
        <v>15</v>
      </c>
      <c r="D271" s="1" t="s">
        <v>21</v>
      </c>
      <c r="E271" s="1">
        <v>0</v>
      </c>
      <c r="F271" s="1">
        <v>0</v>
      </c>
      <c r="G271" s="1">
        <v>0</v>
      </c>
      <c r="H271" s="1">
        <v>0</v>
      </c>
      <c r="I271" s="1">
        <v>0</v>
      </c>
      <c r="J271" s="1">
        <f>Raw_Data[[#This Row],[Quick Match]]+Raw_Data[[#This Row],[Manual Match]]</f>
        <v>0</v>
      </c>
    </row>
    <row r="272" spans="1:10" ht="17.25" customHeight="1" x14ac:dyDescent="0.25">
      <c r="A272" s="4" t="s">
        <v>16</v>
      </c>
      <c r="B272" s="1" t="s">
        <v>37</v>
      </c>
      <c r="C272" s="1" t="s">
        <v>15</v>
      </c>
      <c r="D272" s="1" t="s">
        <v>22</v>
      </c>
      <c r="E272" s="1">
        <v>0</v>
      </c>
      <c r="F272" s="1">
        <v>0</v>
      </c>
      <c r="G272" s="1">
        <v>0</v>
      </c>
      <c r="H272" s="1">
        <v>0</v>
      </c>
      <c r="I272" s="1">
        <v>0</v>
      </c>
      <c r="J272" s="1">
        <f>Raw_Data[[#This Row],[Quick Match]]+Raw_Data[[#This Row],[Manual Match]]</f>
        <v>0</v>
      </c>
    </row>
    <row r="273" spans="1:10" ht="17.25" customHeight="1" x14ac:dyDescent="0.25">
      <c r="A273" s="4" t="s">
        <v>16</v>
      </c>
      <c r="B273" s="1" t="s">
        <v>37</v>
      </c>
      <c r="C273" s="1" t="s">
        <v>15</v>
      </c>
      <c r="D273" s="1" t="s">
        <v>23</v>
      </c>
      <c r="E273" s="1">
        <v>0</v>
      </c>
      <c r="F273" s="1">
        <v>0</v>
      </c>
      <c r="G273" s="1">
        <v>0</v>
      </c>
      <c r="H273" s="1">
        <v>0</v>
      </c>
      <c r="I273" s="1">
        <v>0</v>
      </c>
      <c r="J273" s="1">
        <f>Raw_Data[[#This Row],[Quick Match]]+Raw_Data[[#This Row],[Manual Match]]</f>
        <v>0</v>
      </c>
    </row>
    <row r="274" spans="1:10" ht="17.25" customHeight="1" x14ac:dyDescent="0.25">
      <c r="A274" s="4" t="s">
        <v>16</v>
      </c>
      <c r="B274" s="1" t="s">
        <v>37</v>
      </c>
      <c r="C274" s="1" t="s">
        <v>15</v>
      </c>
      <c r="D274" s="1" t="s">
        <v>24</v>
      </c>
      <c r="E274" s="1">
        <v>0</v>
      </c>
      <c r="F274" s="1">
        <v>0</v>
      </c>
      <c r="G274" s="1">
        <v>0</v>
      </c>
      <c r="H274" s="1">
        <v>0</v>
      </c>
      <c r="I274" s="1">
        <v>0</v>
      </c>
      <c r="J274" s="1">
        <f>Raw_Data[[#This Row],[Quick Match]]+Raw_Data[[#This Row],[Manual Match]]</f>
        <v>0</v>
      </c>
    </row>
    <row r="275" spans="1:10" ht="17.25" customHeight="1" x14ac:dyDescent="0.25">
      <c r="A275" s="4" t="s">
        <v>16</v>
      </c>
      <c r="B275" s="1" t="s">
        <v>38</v>
      </c>
      <c r="C275" s="1" t="s">
        <v>14</v>
      </c>
      <c r="D275" s="1" t="s">
        <v>18</v>
      </c>
      <c r="E275" s="1">
        <v>1</v>
      </c>
      <c r="F275" s="1">
        <v>0</v>
      </c>
      <c r="G275" s="1">
        <v>0</v>
      </c>
      <c r="H275" s="1">
        <v>0</v>
      </c>
      <c r="I275" s="1">
        <v>1</v>
      </c>
      <c r="J275" s="1">
        <f>Raw_Data[[#This Row],[Quick Match]]+Raw_Data[[#This Row],[Manual Match]]</f>
        <v>1</v>
      </c>
    </row>
    <row r="276" spans="1:10" ht="17.25" customHeight="1" x14ac:dyDescent="0.25">
      <c r="A276" s="4" t="s">
        <v>16</v>
      </c>
      <c r="B276" s="1" t="s">
        <v>38</v>
      </c>
      <c r="C276" s="1" t="s">
        <v>14</v>
      </c>
      <c r="D276" s="1" t="s">
        <v>19</v>
      </c>
      <c r="E276" s="1">
        <v>0</v>
      </c>
      <c r="F276" s="1">
        <v>0</v>
      </c>
      <c r="G276" s="1">
        <v>0</v>
      </c>
      <c r="H276" s="1">
        <v>0</v>
      </c>
      <c r="I276" s="1">
        <v>0</v>
      </c>
      <c r="J276" s="1">
        <f>Raw_Data[[#This Row],[Quick Match]]+Raw_Data[[#This Row],[Manual Match]]</f>
        <v>0</v>
      </c>
    </row>
    <row r="277" spans="1:10" ht="17.25" customHeight="1" x14ac:dyDescent="0.25">
      <c r="A277" s="4" t="s">
        <v>16</v>
      </c>
      <c r="B277" s="1" t="s">
        <v>38</v>
      </c>
      <c r="C277" s="1" t="s">
        <v>14</v>
      </c>
      <c r="D277" s="1" t="s">
        <v>20</v>
      </c>
      <c r="E277" s="1">
        <v>2</v>
      </c>
      <c r="F277" s="1">
        <v>1</v>
      </c>
      <c r="G277" s="1">
        <v>0</v>
      </c>
      <c r="H277" s="1">
        <v>0</v>
      </c>
      <c r="I277" s="1">
        <v>3</v>
      </c>
      <c r="J277" s="1">
        <f>Raw_Data[[#This Row],[Quick Match]]+Raw_Data[[#This Row],[Manual Match]]</f>
        <v>3</v>
      </c>
    </row>
    <row r="278" spans="1:10" ht="17.25" customHeight="1" x14ac:dyDescent="0.25">
      <c r="A278" s="4" t="s">
        <v>16</v>
      </c>
      <c r="B278" s="1" t="s">
        <v>38</v>
      </c>
      <c r="C278" s="1" t="s">
        <v>14</v>
      </c>
      <c r="D278" s="1" t="s">
        <v>21</v>
      </c>
      <c r="E278" s="1">
        <v>0</v>
      </c>
      <c r="F278" s="1">
        <v>2</v>
      </c>
      <c r="G278" s="1">
        <v>1</v>
      </c>
      <c r="H278" s="1">
        <v>0</v>
      </c>
      <c r="I278" s="1">
        <v>3</v>
      </c>
      <c r="J278" s="1">
        <f>Raw_Data[[#This Row],[Quick Match]]+Raw_Data[[#This Row],[Manual Match]]</f>
        <v>2</v>
      </c>
    </row>
    <row r="279" spans="1:10" ht="17.25" customHeight="1" x14ac:dyDescent="0.25">
      <c r="A279" s="4" t="s">
        <v>16</v>
      </c>
      <c r="B279" s="1" t="s">
        <v>38</v>
      </c>
      <c r="C279" s="1" t="s">
        <v>14</v>
      </c>
      <c r="D279" s="1" t="s">
        <v>22</v>
      </c>
      <c r="E279" s="1">
        <v>0</v>
      </c>
      <c r="F279" s="1">
        <v>3</v>
      </c>
      <c r="G279" s="1">
        <v>1</v>
      </c>
      <c r="H279" s="1">
        <v>1</v>
      </c>
      <c r="I279" s="1">
        <v>5</v>
      </c>
      <c r="J279" s="1">
        <f>Raw_Data[[#This Row],[Quick Match]]+Raw_Data[[#This Row],[Manual Match]]</f>
        <v>3</v>
      </c>
    </row>
    <row r="280" spans="1:10" ht="17.25" customHeight="1" x14ac:dyDescent="0.25">
      <c r="A280" s="4" t="s">
        <v>16</v>
      </c>
      <c r="B280" s="1" t="s">
        <v>38</v>
      </c>
      <c r="C280" s="1" t="s">
        <v>14</v>
      </c>
      <c r="D280" s="1" t="s">
        <v>23</v>
      </c>
      <c r="E280" s="1">
        <v>0</v>
      </c>
      <c r="F280" s="1">
        <v>4</v>
      </c>
      <c r="G280" s="1">
        <v>0</v>
      </c>
      <c r="H280" s="1">
        <v>0</v>
      </c>
      <c r="I280" s="1">
        <v>4</v>
      </c>
      <c r="J280" s="1">
        <f>Raw_Data[[#This Row],[Quick Match]]+Raw_Data[[#This Row],[Manual Match]]</f>
        <v>4</v>
      </c>
    </row>
    <row r="281" spans="1:10" ht="17.25" customHeight="1" x14ac:dyDescent="0.25">
      <c r="A281" s="4" t="s">
        <v>16</v>
      </c>
      <c r="B281" s="1" t="s">
        <v>38</v>
      </c>
      <c r="C281" s="1" t="s">
        <v>14</v>
      </c>
      <c r="D281" s="1" t="s">
        <v>24</v>
      </c>
      <c r="E281" s="1">
        <v>0</v>
      </c>
      <c r="F281" s="1">
        <v>0</v>
      </c>
      <c r="G281" s="1">
        <v>1</v>
      </c>
      <c r="H281" s="1">
        <v>0</v>
      </c>
      <c r="I281" s="1">
        <v>1</v>
      </c>
      <c r="J281" s="1">
        <f>Raw_Data[[#This Row],[Quick Match]]+Raw_Data[[#This Row],[Manual Match]]</f>
        <v>0</v>
      </c>
    </row>
    <row r="282" spans="1:10" ht="17.25" customHeight="1" x14ac:dyDescent="0.25">
      <c r="A282" s="4" t="s">
        <v>16</v>
      </c>
      <c r="B282" s="1" t="s">
        <v>38</v>
      </c>
      <c r="C282" s="1" t="s">
        <v>25</v>
      </c>
      <c r="D282" s="1" t="s">
        <v>18</v>
      </c>
      <c r="E282" s="1">
        <v>2</v>
      </c>
      <c r="F282" s="1">
        <v>1</v>
      </c>
      <c r="G282" s="1">
        <v>0</v>
      </c>
      <c r="H282" s="1">
        <v>0</v>
      </c>
      <c r="I282" s="1">
        <v>3</v>
      </c>
      <c r="J282" s="1">
        <f>Raw_Data[[#This Row],[Quick Match]]+Raw_Data[[#This Row],[Manual Match]]</f>
        <v>3</v>
      </c>
    </row>
    <row r="283" spans="1:10" ht="17.25" customHeight="1" x14ac:dyDescent="0.25">
      <c r="A283" s="4" t="s">
        <v>16</v>
      </c>
      <c r="B283" s="1" t="s">
        <v>38</v>
      </c>
      <c r="C283" s="1" t="s">
        <v>25</v>
      </c>
      <c r="D283" s="1" t="s">
        <v>19</v>
      </c>
      <c r="E283" s="1">
        <v>1</v>
      </c>
      <c r="F283" s="1">
        <v>0</v>
      </c>
      <c r="G283" s="1">
        <v>0</v>
      </c>
      <c r="H283" s="1">
        <v>0</v>
      </c>
      <c r="I283" s="1">
        <v>1</v>
      </c>
      <c r="J283" s="1">
        <f>Raw_Data[[#This Row],[Quick Match]]+Raw_Data[[#This Row],[Manual Match]]</f>
        <v>1</v>
      </c>
    </row>
    <row r="284" spans="1:10" ht="17.25" customHeight="1" x14ac:dyDescent="0.25">
      <c r="A284" s="4" t="s">
        <v>16</v>
      </c>
      <c r="B284" s="1" t="s">
        <v>38</v>
      </c>
      <c r="C284" s="1" t="s">
        <v>25</v>
      </c>
      <c r="D284" s="1" t="s">
        <v>20</v>
      </c>
      <c r="E284" s="1">
        <v>0</v>
      </c>
      <c r="F284" s="1">
        <v>1</v>
      </c>
      <c r="G284" s="1">
        <v>0</v>
      </c>
      <c r="H284" s="1">
        <v>0</v>
      </c>
      <c r="I284" s="1">
        <v>1</v>
      </c>
      <c r="J284" s="1">
        <f>Raw_Data[[#This Row],[Quick Match]]+Raw_Data[[#This Row],[Manual Match]]</f>
        <v>1</v>
      </c>
    </row>
    <row r="285" spans="1:10" ht="17.25" customHeight="1" x14ac:dyDescent="0.25">
      <c r="A285" s="4" t="s">
        <v>16</v>
      </c>
      <c r="B285" s="1" t="s">
        <v>38</v>
      </c>
      <c r="C285" s="1" t="s">
        <v>25</v>
      </c>
      <c r="D285" s="1" t="s">
        <v>21</v>
      </c>
      <c r="E285" s="1">
        <v>0</v>
      </c>
      <c r="F285" s="1">
        <v>1</v>
      </c>
      <c r="G285" s="1">
        <v>0</v>
      </c>
      <c r="H285" s="1">
        <v>0</v>
      </c>
      <c r="I285" s="1">
        <v>1</v>
      </c>
      <c r="J285" s="1">
        <f>Raw_Data[[#This Row],[Quick Match]]+Raw_Data[[#This Row],[Manual Match]]</f>
        <v>1</v>
      </c>
    </row>
    <row r="286" spans="1:10" ht="17.25" customHeight="1" x14ac:dyDescent="0.25">
      <c r="A286" s="4" t="s">
        <v>16</v>
      </c>
      <c r="B286" s="1" t="s">
        <v>38</v>
      </c>
      <c r="C286" s="1" t="s">
        <v>25</v>
      </c>
      <c r="D286" s="1" t="s">
        <v>22</v>
      </c>
      <c r="E286" s="1">
        <v>0</v>
      </c>
      <c r="F286" s="1">
        <v>2</v>
      </c>
      <c r="G286" s="1">
        <v>1</v>
      </c>
      <c r="H286" s="1">
        <v>0</v>
      </c>
      <c r="I286" s="1">
        <v>3</v>
      </c>
      <c r="J286" s="1">
        <f>Raw_Data[[#This Row],[Quick Match]]+Raw_Data[[#This Row],[Manual Match]]</f>
        <v>2</v>
      </c>
    </row>
    <row r="287" spans="1:10" ht="17.25" customHeight="1" x14ac:dyDescent="0.25">
      <c r="A287" s="4" t="s">
        <v>16</v>
      </c>
      <c r="B287" s="1" t="s">
        <v>38</v>
      </c>
      <c r="C287" s="1" t="s">
        <v>25</v>
      </c>
      <c r="D287" s="1" t="s">
        <v>23</v>
      </c>
      <c r="E287" s="1">
        <v>0</v>
      </c>
      <c r="F287" s="1">
        <v>2</v>
      </c>
      <c r="G287" s="1">
        <v>0</v>
      </c>
      <c r="H287" s="1">
        <v>1</v>
      </c>
      <c r="I287" s="1">
        <v>3</v>
      </c>
      <c r="J287" s="1">
        <f>Raw_Data[[#This Row],[Quick Match]]+Raw_Data[[#This Row],[Manual Match]]</f>
        <v>2</v>
      </c>
    </row>
    <row r="288" spans="1:10" ht="17.25" customHeight="1" x14ac:dyDescent="0.25">
      <c r="A288" s="4" t="s">
        <v>16</v>
      </c>
      <c r="B288" s="1" t="s">
        <v>38</v>
      </c>
      <c r="C288" s="1" t="s">
        <v>25</v>
      </c>
      <c r="D288" s="1" t="s">
        <v>24</v>
      </c>
      <c r="E288" s="1">
        <v>0</v>
      </c>
      <c r="F288" s="1">
        <v>0</v>
      </c>
      <c r="G288" s="1">
        <v>0</v>
      </c>
      <c r="H288" s="1">
        <v>0</v>
      </c>
      <c r="I288" s="1">
        <v>0</v>
      </c>
      <c r="J288" s="1">
        <f>Raw_Data[[#This Row],[Quick Match]]+Raw_Data[[#This Row],[Manual Match]]</f>
        <v>0</v>
      </c>
    </row>
    <row r="289" spans="1:10" ht="17.25" customHeight="1" x14ac:dyDescent="0.25">
      <c r="A289" s="4" t="s">
        <v>16</v>
      </c>
      <c r="B289" s="1" t="s">
        <v>38</v>
      </c>
      <c r="C289" s="1" t="s">
        <v>15</v>
      </c>
      <c r="D289" s="1" t="s">
        <v>18</v>
      </c>
      <c r="E289" s="1">
        <v>0</v>
      </c>
      <c r="F289" s="1">
        <v>0</v>
      </c>
      <c r="G289" s="1">
        <v>0</v>
      </c>
      <c r="H289" s="1">
        <v>0</v>
      </c>
      <c r="I289" s="1">
        <v>0</v>
      </c>
      <c r="J289" s="1">
        <f>Raw_Data[[#This Row],[Quick Match]]+Raw_Data[[#This Row],[Manual Match]]</f>
        <v>0</v>
      </c>
    </row>
    <row r="290" spans="1:10" ht="17.25" customHeight="1" x14ac:dyDescent="0.25">
      <c r="A290" s="4" t="s">
        <v>16</v>
      </c>
      <c r="B290" s="1" t="s">
        <v>38</v>
      </c>
      <c r="C290" s="1" t="s">
        <v>15</v>
      </c>
      <c r="D290" s="1" t="s">
        <v>19</v>
      </c>
      <c r="E290" s="1">
        <v>4</v>
      </c>
      <c r="F290" s="1">
        <v>0</v>
      </c>
      <c r="G290" s="1">
        <v>0</v>
      </c>
      <c r="H290" s="1">
        <v>0</v>
      </c>
      <c r="I290" s="1">
        <v>4</v>
      </c>
      <c r="J290" s="1">
        <f>Raw_Data[[#This Row],[Quick Match]]+Raw_Data[[#This Row],[Manual Match]]</f>
        <v>4</v>
      </c>
    </row>
    <row r="291" spans="1:10" ht="17.25" customHeight="1" x14ac:dyDescent="0.25">
      <c r="A291" s="4" t="s">
        <v>16</v>
      </c>
      <c r="B291" s="1" t="s">
        <v>38</v>
      </c>
      <c r="C291" s="1" t="s">
        <v>15</v>
      </c>
      <c r="D291" s="1" t="s">
        <v>20</v>
      </c>
      <c r="E291" s="1">
        <v>1</v>
      </c>
      <c r="F291" s="1">
        <v>0</v>
      </c>
      <c r="G291" s="1">
        <v>0</v>
      </c>
      <c r="H291" s="1">
        <v>0</v>
      </c>
      <c r="I291" s="1">
        <v>1</v>
      </c>
      <c r="J291" s="1">
        <f>Raw_Data[[#This Row],[Quick Match]]+Raw_Data[[#This Row],[Manual Match]]</f>
        <v>1</v>
      </c>
    </row>
    <row r="292" spans="1:10" ht="17.25" customHeight="1" x14ac:dyDescent="0.25">
      <c r="A292" s="4" t="s">
        <v>16</v>
      </c>
      <c r="B292" s="1" t="s">
        <v>38</v>
      </c>
      <c r="C292" s="1" t="s">
        <v>15</v>
      </c>
      <c r="D292" s="1" t="s">
        <v>21</v>
      </c>
      <c r="E292" s="1">
        <v>0</v>
      </c>
      <c r="F292" s="1">
        <v>0</v>
      </c>
      <c r="G292" s="1">
        <v>0</v>
      </c>
      <c r="H292" s="1">
        <v>1</v>
      </c>
      <c r="I292" s="1">
        <v>1</v>
      </c>
      <c r="J292" s="1">
        <f>Raw_Data[[#This Row],[Quick Match]]+Raw_Data[[#This Row],[Manual Match]]</f>
        <v>0</v>
      </c>
    </row>
    <row r="293" spans="1:10" ht="17.25" customHeight="1" x14ac:dyDescent="0.25">
      <c r="A293" s="4" t="s">
        <v>16</v>
      </c>
      <c r="B293" s="1" t="s">
        <v>38</v>
      </c>
      <c r="C293" s="1" t="s">
        <v>15</v>
      </c>
      <c r="D293" s="1" t="s">
        <v>22</v>
      </c>
      <c r="E293" s="1">
        <v>0</v>
      </c>
      <c r="F293" s="1">
        <v>0</v>
      </c>
      <c r="G293" s="1">
        <v>0</v>
      </c>
      <c r="H293" s="1">
        <v>1</v>
      </c>
      <c r="I293" s="1">
        <v>1</v>
      </c>
      <c r="J293" s="1">
        <f>Raw_Data[[#This Row],[Quick Match]]+Raw_Data[[#This Row],[Manual Match]]</f>
        <v>0</v>
      </c>
    </row>
    <row r="294" spans="1:10" ht="17.25" customHeight="1" x14ac:dyDescent="0.25">
      <c r="A294" s="4" t="s">
        <v>16</v>
      </c>
      <c r="B294" s="1" t="s">
        <v>38</v>
      </c>
      <c r="C294" s="1" t="s">
        <v>15</v>
      </c>
      <c r="D294" s="1" t="s">
        <v>23</v>
      </c>
      <c r="E294" s="1">
        <v>0</v>
      </c>
      <c r="F294" s="1">
        <v>2</v>
      </c>
      <c r="G294" s="1">
        <v>0</v>
      </c>
      <c r="H294" s="1">
        <v>0</v>
      </c>
      <c r="I294" s="1">
        <v>2</v>
      </c>
      <c r="J294" s="1">
        <f>Raw_Data[[#This Row],[Quick Match]]+Raw_Data[[#This Row],[Manual Match]]</f>
        <v>2</v>
      </c>
    </row>
    <row r="295" spans="1:10" ht="17.25" customHeight="1" x14ac:dyDescent="0.25">
      <c r="A295" s="4" t="s">
        <v>16</v>
      </c>
      <c r="B295" s="1" t="s">
        <v>38</v>
      </c>
      <c r="C295" s="1" t="s">
        <v>15</v>
      </c>
      <c r="D295" s="1" t="s">
        <v>24</v>
      </c>
      <c r="E295" s="1">
        <v>0</v>
      </c>
      <c r="F295" s="1">
        <v>2</v>
      </c>
      <c r="G295" s="1">
        <v>0</v>
      </c>
      <c r="H295" s="1">
        <v>0</v>
      </c>
      <c r="I295" s="1">
        <v>2</v>
      </c>
      <c r="J295" s="1">
        <f>Raw_Data[[#This Row],[Quick Match]]+Raw_Data[[#This Row],[Manual Match]]</f>
        <v>2</v>
      </c>
    </row>
    <row r="296" spans="1:10" ht="17.25" customHeight="1" x14ac:dyDescent="0.25">
      <c r="A296" s="4" t="s">
        <v>16</v>
      </c>
      <c r="B296" s="1" t="s">
        <v>39</v>
      </c>
      <c r="C296" s="1" t="s">
        <v>14</v>
      </c>
      <c r="D296" s="1" t="s">
        <v>18</v>
      </c>
      <c r="E296" s="1">
        <v>0</v>
      </c>
      <c r="F296" s="1">
        <v>0</v>
      </c>
      <c r="G296" s="1">
        <v>0</v>
      </c>
      <c r="H296" s="1">
        <v>0</v>
      </c>
      <c r="I296" s="1">
        <v>0</v>
      </c>
      <c r="J296" s="1">
        <f>Raw_Data[[#This Row],[Quick Match]]+Raw_Data[[#This Row],[Manual Match]]</f>
        <v>0</v>
      </c>
    </row>
    <row r="297" spans="1:10" ht="17.25" customHeight="1" x14ac:dyDescent="0.25">
      <c r="A297" s="4" t="s">
        <v>16</v>
      </c>
      <c r="B297" s="1" t="s">
        <v>39</v>
      </c>
      <c r="C297" s="1" t="s">
        <v>14</v>
      </c>
      <c r="D297" s="1" t="s">
        <v>19</v>
      </c>
      <c r="E297" s="1">
        <v>4</v>
      </c>
      <c r="F297" s="1">
        <v>0</v>
      </c>
      <c r="G297" s="1">
        <v>0</v>
      </c>
      <c r="H297" s="1">
        <v>0</v>
      </c>
      <c r="I297" s="1">
        <v>4</v>
      </c>
      <c r="J297" s="1">
        <f>Raw_Data[[#This Row],[Quick Match]]+Raw_Data[[#This Row],[Manual Match]]</f>
        <v>4</v>
      </c>
    </row>
    <row r="298" spans="1:10" ht="17.25" customHeight="1" x14ac:dyDescent="0.25">
      <c r="A298" s="4" t="s">
        <v>16</v>
      </c>
      <c r="B298" s="1" t="s">
        <v>39</v>
      </c>
      <c r="C298" s="1" t="s">
        <v>14</v>
      </c>
      <c r="D298" s="1" t="s">
        <v>20</v>
      </c>
      <c r="E298" s="1">
        <v>0</v>
      </c>
      <c r="F298" s="1">
        <v>0</v>
      </c>
      <c r="G298" s="1">
        <v>0</v>
      </c>
      <c r="H298" s="1">
        <v>0</v>
      </c>
      <c r="I298" s="1">
        <v>0</v>
      </c>
      <c r="J298" s="1">
        <f>Raw_Data[[#This Row],[Quick Match]]+Raw_Data[[#This Row],[Manual Match]]</f>
        <v>0</v>
      </c>
    </row>
    <row r="299" spans="1:10" ht="17.25" customHeight="1" x14ac:dyDescent="0.25">
      <c r="A299" s="4" t="s">
        <v>16</v>
      </c>
      <c r="B299" s="1" t="s">
        <v>39</v>
      </c>
      <c r="C299" s="1" t="s">
        <v>14</v>
      </c>
      <c r="D299" s="1" t="s">
        <v>21</v>
      </c>
      <c r="E299" s="1">
        <v>0</v>
      </c>
      <c r="F299" s="1">
        <v>1</v>
      </c>
      <c r="G299" s="1">
        <v>0</v>
      </c>
      <c r="H299" s="1">
        <v>0</v>
      </c>
      <c r="I299" s="1">
        <v>1</v>
      </c>
      <c r="J299" s="1">
        <f>Raw_Data[[#This Row],[Quick Match]]+Raw_Data[[#This Row],[Manual Match]]</f>
        <v>1</v>
      </c>
    </row>
    <row r="300" spans="1:10" ht="17.25" customHeight="1" x14ac:dyDescent="0.25">
      <c r="A300" s="4" t="s">
        <v>16</v>
      </c>
      <c r="B300" s="1" t="s">
        <v>39</v>
      </c>
      <c r="C300" s="1" t="s">
        <v>14</v>
      </c>
      <c r="D300" s="1" t="s">
        <v>22</v>
      </c>
      <c r="E300" s="1">
        <v>0</v>
      </c>
      <c r="F300" s="1">
        <v>3</v>
      </c>
      <c r="G300" s="1">
        <v>1</v>
      </c>
      <c r="H300" s="1">
        <v>0</v>
      </c>
      <c r="I300" s="1">
        <v>4</v>
      </c>
      <c r="J300" s="1">
        <f>Raw_Data[[#This Row],[Quick Match]]+Raw_Data[[#This Row],[Manual Match]]</f>
        <v>3</v>
      </c>
    </row>
    <row r="301" spans="1:10" ht="17.25" customHeight="1" x14ac:dyDescent="0.25">
      <c r="A301" s="4" t="s">
        <v>16</v>
      </c>
      <c r="B301" s="1" t="s">
        <v>39</v>
      </c>
      <c r="C301" s="1" t="s">
        <v>14</v>
      </c>
      <c r="D301" s="1" t="s">
        <v>23</v>
      </c>
      <c r="E301" s="1">
        <v>0</v>
      </c>
      <c r="F301" s="1">
        <v>2</v>
      </c>
      <c r="G301" s="1">
        <v>0</v>
      </c>
      <c r="H301" s="1">
        <v>0</v>
      </c>
      <c r="I301" s="1">
        <v>2</v>
      </c>
      <c r="J301" s="1">
        <f>Raw_Data[[#This Row],[Quick Match]]+Raw_Data[[#This Row],[Manual Match]]</f>
        <v>2</v>
      </c>
    </row>
    <row r="302" spans="1:10" ht="17.25" customHeight="1" x14ac:dyDescent="0.25">
      <c r="A302" s="4" t="s">
        <v>16</v>
      </c>
      <c r="B302" s="1" t="s">
        <v>39</v>
      </c>
      <c r="C302" s="1" t="s">
        <v>14</v>
      </c>
      <c r="D302" s="1" t="s">
        <v>24</v>
      </c>
      <c r="E302" s="1">
        <v>0</v>
      </c>
      <c r="F302" s="1">
        <v>0</v>
      </c>
      <c r="G302" s="1">
        <v>0</v>
      </c>
      <c r="H302" s="1">
        <v>0</v>
      </c>
      <c r="I302" s="1">
        <v>0</v>
      </c>
      <c r="J302" s="1">
        <f>Raw_Data[[#This Row],[Quick Match]]+Raw_Data[[#This Row],[Manual Match]]</f>
        <v>0</v>
      </c>
    </row>
    <row r="303" spans="1:10" ht="17.25" customHeight="1" x14ac:dyDescent="0.25">
      <c r="A303" s="4" t="s">
        <v>16</v>
      </c>
      <c r="B303" s="1" t="s">
        <v>39</v>
      </c>
      <c r="C303" s="1" t="s">
        <v>25</v>
      </c>
      <c r="D303" s="1" t="s">
        <v>18</v>
      </c>
      <c r="E303" s="1">
        <v>5</v>
      </c>
      <c r="F303" s="1">
        <v>0</v>
      </c>
      <c r="G303" s="1">
        <v>1</v>
      </c>
      <c r="H303" s="1">
        <v>0</v>
      </c>
      <c r="I303" s="1">
        <v>6</v>
      </c>
      <c r="J303" s="1">
        <f>Raw_Data[[#This Row],[Quick Match]]+Raw_Data[[#This Row],[Manual Match]]</f>
        <v>5</v>
      </c>
    </row>
    <row r="304" spans="1:10" ht="17.25" customHeight="1" x14ac:dyDescent="0.25">
      <c r="A304" s="4" t="s">
        <v>16</v>
      </c>
      <c r="B304" s="1" t="s">
        <v>39</v>
      </c>
      <c r="C304" s="1" t="s">
        <v>25</v>
      </c>
      <c r="D304" s="1" t="s">
        <v>19</v>
      </c>
      <c r="E304" s="1">
        <v>2</v>
      </c>
      <c r="F304" s="1">
        <v>0</v>
      </c>
      <c r="G304" s="1">
        <v>0</v>
      </c>
      <c r="H304" s="1">
        <v>0</v>
      </c>
      <c r="I304" s="1">
        <v>2</v>
      </c>
      <c r="J304" s="1">
        <f>Raw_Data[[#This Row],[Quick Match]]+Raw_Data[[#This Row],[Manual Match]]</f>
        <v>2</v>
      </c>
    </row>
    <row r="305" spans="1:10" ht="17.25" customHeight="1" x14ac:dyDescent="0.25">
      <c r="A305" s="4" t="s">
        <v>16</v>
      </c>
      <c r="B305" s="1" t="s">
        <v>39</v>
      </c>
      <c r="C305" s="1" t="s">
        <v>25</v>
      </c>
      <c r="D305" s="1" t="s">
        <v>20</v>
      </c>
      <c r="E305" s="1">
        <v>2</v>
      </c>
      <c r="F305" s="1">
        <v>0</v>
      </c>
      <c r="G305" s="1">
        <v>0</v>
      </c>
      <c r="H305" s="1">
        <v>0</v>
      </c>
      <c r="I305" s="1">
        <v>2</v>
      </c>
      <c r="J305" s="1">
        <f>Raw_Data[[#This Row],[Quick Match]]+Raw_Data[[#This Row],[Manual Match]]</f>
        <v>2</v>
      </c>
    </row>
    <row r="306" spans="1:10" ht="17.25" customHeight="1" x14ac:dyDescent="0.25">
      <c r="A306" s="4" t="s">
        <v>16</v>
      </c>
      <c r="B306" s="1" t="s">
        <v>39</v>
      </c>
      <c r="C306" s="1" t="s">
        <v>25</v>
      </c>
      <c r="D306" s="1" t="s">
        <v>21</v>
      </c>
      <c r="E306" s="1">
        <v>0</v>
      </c>
      <c r="F306" s="1">
        <v>1</v>
      </c>
      <c r="G306" s="1">
        <v>0</v>
      </c>
      <c r="H306" s="1">
        <v>0</v>
      </c>
      <c r="I306" s="1">
        <v>1</v>
      </c>
      <c r="J306" s="1">
        <f>Raw_Data[[#This Row],[Quick Match]]+Raw_Data[[#This Row],[Manual Match]]</f>
        <v>1</v>
      </c>
    </row>
    <row r="307" spans="1:10" ht="17.25" customHeight="1" x14ac:dyDescent="0.25">
      <c r="A307" s="4" t="s">
        <v>16</v>
      </c>
      <c r="B307" s="1" t="s">
        <v>39</v>
      </c>
      <c r="C307" s="1" t="s">
        <v>25</v>
      </c>
      <c r="D307" s="1" t="s">
        <v>22</v>
      </c>
      <c r="E307" s="1">
        <v>0</v>
      </c>
      <c r="F307" s="1">
        <v>1</v>
      </c>
      <c r="G307" s="1">
        <v>1</v>
      </c>
      <c r="H307" s="1">
        <v>0</v>
      </c>
      <c r="I307" s="1">
        <v>2</v>
      </c>
      <c r="J307" s="1">
        <f>Raw_Data[[#This Row],[Quick Match]]+Raw_Data[[#This Row],[Manual Match]]</f>
        <v>1</v>
      </c>
    </row>
    <row r="308" spans="1:10" ht="17.25" customHeight="1" x14ac:dyDescent="0.25">
      <c r="A308" s="4" t="s">
        <v>16</v>
      </c>
      <c r="B308" s="1" t="s">
        <v>39</v>
      </c>
      <c r="C308" s="1" t="s">
        <v>25</v>
      </c>
      <c r="D308" s="1" t="s">
        <v>23</v>
      </c>
      <c r="E308" s="1">
        <v>0</v>
      </c>
      <c r="F308" s="1">
        <v>2</v>
      </c>
      <c r="G308" s="1">
        <v>0</v>
      </c>
      <c r="H308" s="1">
        <v>0</v>
      </c>
      <c r="I308" s="1">
        <v>2</v>
      </c>
      <c r="J308" s="1">
        <f>Raw_Data[[#This Row],[Quick Match]]+Raw_Data[[#This Row],[Manual Match]]</f>
        <v>2</v>
      </c>
    </row>
    <row r="309" spans="1:10" ht="17.25" customHeight="1" x14ac:dyDescent="0.25">
      <c r="A309" s="4" t="s">
        <v>16</v>
      </c>
      <c r="B309" s="1" t="s">
        <v>39</v>
      </c>
      <c r="C309" s="1" t="s">
        <v>25</v>
      </c>
      <c r="D309" s="1" t="s">
        <v>24</v>
      </c>
      <c r="E309" s="1">
        <v>0</v>
      </c>
      <c r="F309" s="1">
        <v>0</v>
      </c>
      <c r="G309" s="1">
        <v>0</v>
      </c>
      <c r="H309" s="1">
        <v>0</v>
      </c>
      <c r="I309" s="1">
        <v>0</v>
      </c>
      <c r="J309" s="1">
        <f>Raw_Data[[#This Row],[Quick Match]]+Raw_Data[[#This Row],[Manual Match]]</f>
        <v>0</v>
      </c>
    </row>
    <row r="310" spans="1:10" ht="17.25" customHeight="1" x14ac:dyDescent="0.25">
      <c r="A310" s="4" t="s">
        <v>16</v>
      </c>
      <c r="B310" s="1" t="s">
        <v>39</v>
      </c>
      <c r="C310" s="1" t="s">
        <v>15</v>
      </c>
      <c r="D310" s="1" t="s">
        <v>18</v>
      </c>
      <c r="E310" s="1">
        <v>0</v>
      </c>
      <c r="F310" s="1">
        <v>0</v>
      </c>
      <c r="G310" s="1">
        <v>0</v>
      </c>
      <c r="H310" s="1">
        <v>0</v>
      </c>
      <c r="I310" s="1">
        <v>0</v>
      </c>
      <c r="J310" s="1">
        <f>Raw_Data[[#This Row],[Quick Match]]+Raw_Data[[#This Row],[Manual Match]]</f>
        <v>0</v>
      </c>
    </row>
    <row r="311" spans="1:10" ht="17.25" customHeight="1" x14ac:dyDescent="0.25">
      <c r="A311" s="4" t="s">
        <v>16</v>
      </c>
      <c r="B311" s="1" t="s">
        <v>39</v>
      </c>
      <c r="C311" s="1" t="s">
        <v>15</v>
      </c>
      <c r="D311" s="1" t="s">
        <v>19</v>
      </c>
      <c r="E311" s="1">
        <v>0</v>
      </c>
      <c r="F311" s="1">
        <v>0</v>
      </c>
      <c r="G311" s="1">
        <v>0</v>
      </c>
      <c r="H311" s="1">
        <v>0</v>
      </c>
      <c r="I311" s="1">
        <v>0</v>
      </c>
      <c r="J311" s="1">
        <f>Raw_Data[[#This Row],[Quick Match]]+Raw_Data[[#This Row],[Manual Match]]</f>
        <v>0</v>
      </c>
    </row>
    <row r="312" spans="1:10" ht="17.25" customHeight="1" x14ac:dyDescent="0.25">
      <c r="A312" s="4" t="s">
        <v>16</v>
      </c>
      <c r="B312" s="1" t="s">
        <v>39</v>
      </c>
      <c r="C312" s="1" t="s">
        <v>15</v>
      </c>
      <c r="D312" s="1" t="s">
        <v>20</v>
      </c>
      <c r="E312" s="1">
        <v>0</v>
      </c>
      <c r="F312" s="1">
        <v>1</v>
      </c>
      <c r="G312" s="1">
        <v>0</v>
      </c>
      <c r="H312" s="1">
        <v>0</v>
      </c>
      <c r="I312" s="1">
        <v>1</v>
      </c>
      <c r="J312" s="1">
        <f>Raw_Data[[#This Row],[Quick Match]]+Raw_Data[[#This Row],[Manual Match]]</f>
        <v>1</v>
      </c>
    </row>
    <row r="313" spans="1:10" ht="17.25" customHeight="1" x14ac:dyDescent="0.25">
      <c r="A313" s="4" t="s">
        <v>16</v>
      </c>
      <c r="B313" s="1" t="s">
        <v>39</v>
      </c>
      <c r="C313" s="1" t="s">
        <v>15</v>
      </c>
      <c r="D313" s="1" t="s">
        <v>21</v>
      </c>
      <c r="E313" s="1">
        <v>0</v>
      </c>
      <c r="F313" s="1">
        <v>0</v>
      </c>
      <c r="G313" s="1">
        <v>0</v>
      </c>
      <c r="H313" s="1">
        <v>0</v>
      </c>
      <c r="I313" s="1">
        <v>0</v>
      </c>
      <c r="J313" s="1">
        <f>Raw_Data[[#This Row],[Quick Match]]+Raw_Data[[#This Row],[Manual Match]]</f>
        <v>0</v>
      </c>
    </row>
    <row r="314" spans="1:10" ht="17.25" customHeight="1" x14ac:dyDescent="0.25">
      <c r="A314" s="4" t="s">
        <v>16</v>
      </c>
      <c r="B314" s="1" t="s">
        <v>39</v>
      </c>
      <c r="C314" s="1" t="s">
        <v>15</v>
      </c>
      <c r="D314" s="1" t="s">
        <v>22</v>
      </c>
      <c r="E314" s="1">
        <v>0</v>
      </c>
      <c r="F314" s="1">
        <v>0</v>
      </c>
      <c r="G314" s="1">
        <v>1</v>
      </c>
      <c r="H314" s="1">
        <v>0</v>
      </c>
      <c r="I314" s="1">
        <v>1</v>
      </c>
      <c r="J314" s="1">
        <f>Raw_Data[[#This Row],[Quick Match]]+Raw_Data[[#This Row],[Manual Match]]</f>
        <v>0</v>
      </c>
    </row>
    <row r="315" spans="1:10" ht="17.25" customHeight="1" x14ac:dyDescent="0.25">
      <c r="A315" s="4" t="s">
        <v>16</v>
      </c>
      <c r="B315" s="1" t="s">
        <v>39</v>
      </c>
      <c r="C315" s="1" t="s">
        <v>15</v>
      </c>
      <c r="D315" s="1" t="s">
        <v>23</v>
      </c>
      <c r="E315" s="1">
        <v>0</v>
      </c>
      <c r="F315" s="1">
        <v>1</v>
      </c>
      <c r="G315" s="1">
        <v>1</v>
      </c>
      <c r="H315" s="1">
        <v>0</v>
      </c>
      <c r="I315" s="1">
        <v>2</v>
      </c>
      <c r="J315" s="1">
        <f>Raw_Data[[#This Row],[Quick Match]]+Raw_Data[[#This Row],[Manual Match]]</f>
        <v>1</v>
      </c>
    </row>
    <row r="316" spans="1:10" ht="17.25" customHeight="1" x14ac:dyDescent="0.25">
      <c r="A316" s="4" t="s">
        <v>16</v>
      </c>
      <c r="B316" s="1" t="s">
        <v>39</v>
      </c>
      <c r="C316" s="1" t="s">
        <v>15</v>
      </c>
      <c r="D316" s="1" t="s">
        <v>24</v>
      </c>
      <c r="E316" s="1">
        <v>0</v>
      </c>
      <c r="F316" s="1">
        <v>0</v>
      </c>
      <c r="G316" s="1">
        <v>0</v>
      </c>
      <c r="H316" s="1">
        <v>0</v>
      </c>
      <c r="I316" s="1">
        <v>0</v>
      </c>
      <c r="J316" s="1">
        <f>Raw_Data[[#This Row],[Quick Match]]+Raw_Data[[#This Row],[Manual Match]]</f>
        <v>0</v>
      </c>
    </row>
    <row r="317" spans="1:10" ht="17.25" customHeight="1" x14ac:dyDescent="0.25">
      <c r="A317" s="4" t="s">
        <v>16</v>
      </c>
      <c r="B317" s="1" t="s">
        <v>40</v>
      </c>
      <c r="C317" s="1" t="s">
        <v>14</v>
      </c>
      <c r="D317" s="1" t="s">
        <v>18</v>
      </c>
      <c r="E317" s="1">
        <v>0</v>
      </c>
      <c r="F317" s="1">
        <v>0</v>
      </c>
      <c r="G317" s="1">
        <v>0</v>
      </c>
      <c r="H317" s="1">
        <v>0</v>
      </c>
      <c r="I317" s="1">
        <v>0</v>
      </c>
      <c r="J317" s="1">
        <f>Raw_Data[[#This Row],[Quick Match]]+Raw_Data[[#This Row],[Manual Match]]</f>
        <v>0</v>
      </c>
    </row>
    <row r="318" spans="1:10" ht="17.25" customHeight="1" x14ac:dyDescent="0.25">
      <c r="A318" s="4" t="s">
        <v>16</v>
      </c>
      <c r="B318" s="1" t="s">
        <v>40</v>
      </c>
      <c r="C318" s="1" t="s">
        <v>14</v>
      </c>
      <c r="D318" s="1" t="s">
        <v>19</v>
      </c>
      <c r="E318" s="1">
        <v>0</v>
      </c>
      <c r="F318" s="1">
        <v>0</v>
      </c>
      <c r="G318" s="1">
        <v>0</v>
      </c>
      <c r="H318" s="1">
        <v>0</v>
      </c>
      <c r="I318" s="1">
        <v>0</v>
      </c>
      <c r="J318" s="1">
        <f>Raw_Data[[#This Row],[Quick Match]]+Raw_Data[[#This Row],[Manual Match]]</f>
        <v>0</v>
      </c>
    </row>
    <row r="319" spans="1:10" ht="17.25" customHeight="1" x14ac:dyDescent="0.25">
      <c r="A319" s="4" t="s">
        <v>16</v>
      </c>
      <c r="B319" s="1" t="s">
        <v>40</v>
      </c>
      <c r="C319" s="1" t="s">
        <v>14</v>
      </c>
      <c r="D319" s="1" t="s">
        <v>20</v>
      </c>
      <c r="E319" s="1">
        <v>0</v>
      </c>
      <c r="F319" s="1">
        <v>0</v>
      </c>
      <c r="G319" s="1">
        <v>0</v>
      </c>
      <c r="H319" s="1">
        <v>0</v>
      </c>
      <c r="I319" s="1">
        <v>0</v>
      </c>
      <c r="J319" s="1">
        <f>Raw_Data[[#This Row],[Quick Match]]+Raw_Data[[#This Row],[Manual Match]]</f>
        <v>0</v>
      </c>
    </row>
    <row r="320" spans="1:10" ht="17.25" customHeight="1" x14ac:dyDescent="0.25">
      <c r="A320" s="4" t="s">
        <v>16</v>
      </c>
      <c r="B320" s="1" t="s">
        <v>40</v>
      </c>
      <c r="C320" s="1" t="s">
        <v>14</v>
      </c>
      <c r="D320" s="1" t="s">
        <v>21</v>
      </c>
      <c r="E320" s="1">
        <v>0</v>
      </c>
      <c r="F320" s="1">
        <v>0</v>
      </c>
      <c r="G320" s="1">
        <v>0</v>
      </c>
      <c r="H320" s="1">
        <v>0</v>
      </c>
      <c r="I320" s="1">
        <v>0</v>
      </c>
      <c r="J320" s="1">
        <f>Raw_Data[[#This Row],[Quick Match]]+Raw_Data[[#This Row],[Manual Match]]</f>
        <v>0</v>
      </c>
    </row>
    <row r="321" spans="1:10" ht="17.25" customHeight="1" x14ac:dyDescent="0.25">
      <c r="A321" s="4" t="s">
        <v>16</v>
      </c>
      <c r="B321" s="1" t="s">
        <v>40</v>
      </c>
      <c r="C321" s="1" t="s">
        <v>14</v>
      </c>
      <c r="D321" s="1" t="s">
        <v>22</v>
      </c>
      <c r="E321" s="1">
        <v>0</v>
      </c>
      <c r="F321" s="1">
        <v>0</v>
      </c>
      <c r="G321" s="1">
        <v>0</v>
      </c>
      <c r="H321" s="1">
        <v>0</v>
      </c>
      <c r="I321" s="1">
        <v>0</v>
      </c>
      <c r="J321" s="1">
        <f>Raw_Data[[#This Row],[Quick Match]]+Raw_Data[[#This Row],[Manual Match]]</f>
        <v>0</v>
      </c>
    </row>
    <row r="322" spans="1:10" ht="17.25" customHeight="1" x14ac:dyDescent="0.25">
      <c r="A322" s="4" t="s">
        <v>16</v>
      </c>
      <c r="B322" s="1" t="s">
        <v>40</v>
      </c>
      <c r="C322" s="1" t="s">
        <v>14</v>
      </c>
      <c r="D322" s="1" t="s">
        <v>23</v>
      </c>
      <c r="E322" s="1">
        <v>0</v>
      </c>
      <c r="F322" s="1">
        <v>0</v>
      </c>
      <c r="G322" s="1">
        <v>0</v>
      </c>
      <c r="H322" s="1">
        <v>0</v>
      </c>
      <c r="I322" s="1">
        <v>0</v>
      </c>
      <c r="J322" s="1">
        <f>Raw_Data[[#This Row],[Quick Match]]+Raw_Data[[#This Row],[Manual Match]]</f>
        <v>0</v>
      </c>
    </row>
    <row r="323" spans="1:10" ht="17.25" customHeight="1" x14ac:dyDescent="0.25">
      <c r="A323" s="4" t="s">
        <v>16</v>
      </c>
      <c r="B323" s="1" t="s">
        <v>40</v>
      </c>
      <c r="C323" s="1" t="s">
        <v>14</v>
      </c>
      <c r="D323" s="1" t="s">
        <v>24</v>
      </c>
      <c r="E323" s="1">
        <v>0</v>
      </c>
      <c r="F323" s="1">
        <v>0</v>
      </c>
      <c r="G323" s="1">
        <v>0</v>
      </c>
      <c r="H323" s="1">
        <v>0</v>
      </c>
      <c r="I323" s="1">
        <v>0</v>
      </c>
      <c r="J323" s="1">
        <f>Raw_Data[[#This Row],[Quick Match]]+Raw_Data[[#This Row],[Manual Match]]</f>
        <v>0</v>
      </c>
    </row>
    <row r="324" spans="1:10" ht="17.25" customHeight="1" x14ac:dyDescent="0.25">
      <c r="A324" s="4" t="s">
        <v>16</v>
      </c>
      <c r="B324" s="1" t="s">
        <v>40</v>
      </c>
      <c r="C324" s="1" t="s">
        <v>25</v>
      </c>
      <c r="D324" s="1" t="s">
        <v>18</v>
      </c>
      <c r="E324" s="1">
        <v>0</v>
      </c>
      <c r="F324" s="1">
        <v>0</v>
      </c>
      <c r="G324" s="1">
        <v>0</v>
      </c>
      <c r="H324" s="1">
        <v>0</v>
      </c>
      <c r="I324" s="1">
        <v>0</v>
      </c>
      <c r="J324" s="1">
        <f>Raw_Data[[#This Row],[Quick Match]]+Raw_Data[[#This Row],[Manual Match]]</f>
        <v>0</v>
      </c>
    </row>
    <row r="325" spans="1:10" ht="17.25" customHeight="1" x14ac:dyDescent="0.25">
      <c r="A325" s="4" t="s">
        <v>16</v>
      </c>
      <c r="B325" s="1" t="s">
        <v>40</v>
      </c>
      <c r="C325" s="1" t="s">
        <v>25</v>
      </c>
      <c r="D325" s="1" t="s">
        <v>19</v>
      </c>
      <c r="E325" s="1">
        <v>0</v>
      </c>
      <c r="F325" s="1">
        <v>0</v>
      </c>
      <c r="G325" s="1">
        <v>0</v>
      </c>
      <c r="H325" s="1">
        <v>0</v>
      </c>
      <c r="I325" s="1">
        <v>0</v>
      </c>
      <c r="J325" s="1">
        <f>Raw_Data[[#This Row],[Quick Match]]+Raw_Data[[#This Row],[Manual Match]]</f>
        <v>0</v>
      </c>
    </row>
    <row r="326" spans="1:10" ht="17.25" customHeight="1" x14ac:dyDescent="0.25">
      <c r="A326" s="4" t="s">
        <v>16</v>
      </c>
      <c r="B326" s="1" t="s">
        <v>40</v>
      </c>
      <c r="C326" s="1" t="s">
        <v>25</v>
      </c>
      <c r="D326" s="1" t="s">
        <v>20</v>
      </c>
      <c r="E326" s="1">
        <v>0</v>
      </c>
      <c r="F326" s="1">
        <v>0</v>
      </c>
      <c r="G326" s="1">
        <v>0</v>
      </c>
      <c r="H326" s="1">
        <v>0</v>
      </c>
      <c r="I326" s="1">
        <v>0</v>
      </c>
      <c r="J326" s="1">
        <f>Raw_Data[[#This Row],[Quick Match]]+Raw_Data[[#This Row],[Manual Match]]</f>
        <v>0</v>
      </c>
    </row>
    <row r="327" spans="1:10" ht="17.25" customHeight="1" x14ac:dyDescent="0.25">
      <c r="A327" s="4" t="s">
        <v>16</v>
      </c>
      <c r="B327" s="1" t="s">
        <v>40</v>
      </c>
      <c r="C327" s="1" t="s">
        <v>25</v>
      </c>
      <c r="D327" s="1" t="s">
        <v>21</v>
      </c>
      <c r="E327" s="1">
        <v>0</v>
      </c>
      <c r="F327" s="1">
        <v>0</v>
      </c>
      <c r="G327" s="1">
        <v>0</v>
      </c>
      <c r="H327" s="1">
        <v>0</v>
      </c>
      <c r="I327" s="1">
        <v>0</v>
      </c>
      <c r="J327" s="1">
        <f>Raw_Data[[#This Row],[Quick Match]]+Raw_Data[[#This Row],[Manual Match]]</f>
        <v>0</v>
      </c>
    </row>
    <row r="328" spans="1:10" ht="17.25" customHeight="1" x14ac:dyDescent="0.25">
      <c r="A328" s="4" t="s">
        <v>16</v>
      </c>
      <c r="B328" s="1" t="s">
        <v>40</v>
      </c>
      <c r="C328" s="1" t="s">
        <v>25</v>
      </c>
      <c r="D328" s="1" t="s">
        <v>22</v>
      </c>
      <c r="E328" s="1">
        <v>0</v>
      </c>
      <c r="F328" s="1">
        <v>0</v>
      </c>
      <c r="G328" s="1">
        <v>0</v>
      </c>
      <c r="H328" s="1">
        <v>0</v>
      </c>
      <c r="I328" s="1">
        <v>0</v>
      </c>
      <c r="J328" s="1">
        <f>Raw_Data[[#This Row],[Quick Match]]+Raw_Data[[#This Row],[Manual Match]]</f>
        <v>0</v>
      </c>
    </row>
    <row r="329" spans="1:10" ht="17.25" customHeight="1" x14ac:dyDescent="0.25">
      <c r="A329" s="4" t="s">
        <v>16</v>
      </c>
      <c r="B329" s="1" t="s">
        <v>40</v>
      </c>
      <c r="C329" s="1" t="s">
        <v>25</v>
      </c>
      <c r="D329" s="1" t="s">
        <v>23</v>
      </c>
      <c r="E329" s="1">
        <v>0</v>
      </c>
      <c r="F329" s="1">
        <v>0</v>
      </c>
      <c r="G329" s="1">
        <v>0</v>
      </c>
      <c r="H329" s="1">
        <v>0</v>
      </c>
      <c r="I329" s="1">
        <v>0</v>
      </c>
      <c r="J329" s="1">
        <f>Raw_Data[[#This Row],[Quick Match]]+Raw_Data[[#This Row],[Manual Match]]</f>
        <v>0</v>
      </c>
    </row>
    <row r="330" spans="1:10" ht="17.25" customHeight="1" x14ac:dyDescent="0.25">
      <c r="A330" s="4" t="s">
        <v>16</v>
      </c>
      <c r="B330" s="1" t="s">
        <v>40</v>
      </c>
      <c r="C330" s="1" t="s">
        <v>25</v>
      </c>
      <c r="D330" s="1" t="s">
        <v>24</v>
      </c>
      <c r="E330" s="1">
        <v>0</v>
      </c>
      <c r="F330" s="1">
        <v>0</v>
      </c>
      <c r="G330" s="1">
        <v>0</v>
      </c>
      <c r="H330" s="1">
        <v>0</v>
      </c>
      <c r="I330" s="1">
        <v>0</v>
      </c>
      <c r="J330" s="1">
        <f>Raw_Data[[#This Row],[Quick Match]]+Raw_Data[[#This Row],[Manual Match]]</f>
        <v>0</v>
      </c>
    </row>
    <row r="331" spans="1:10" ht="17.25" customHeight="1" x14ac:dyDescent="0.25">
      <c r="A331" s="4" t="s">
        <v>16</v>
      </c>
      <c r="B331" s="1" t="s">
        <v>40</v>
      </c>
      <c r="C331" s="1" t="s">
        <v>15</v>
      </c>
      <c r="D331" s="1" t="s">
        <v>18</v>
      </c>
      <c r="E331" s="1">
        <v>0</v>
      </c>
      <c r="F331" s="1">
        <v>0</v>
      </c>
      <c r="G331" s="1">
        <v>0</v>
      </c>
      <c r="H331" s="1">
        <v>0</v>
      </c>
      <c r="I331" s="1">
        <v>0</v>
      </c>
      <c r="J331" s="1">
        <f>Raw_Data[[#This Row],[Quick Match]]+Raw_Data[[#This Row],[Manual Match]]</f>
        <v>0</v>
      </c>
    </row>
    <row r="332" spans="1:10" ht="17.25" customHeight="1" x14ac:dyDescent="0.25">
      <c r="A332" s="4" t="s">
        <v>16</v>
      </c>
      <c r="B332" s="1" t="s">
        <v>40</v>
      </c>
      <c r="C332" s="1" t="s">
        <v>15</v>
      </c>
      <c r="D332" s="1" t="s">
        <v>19</v>
      </c>
      <c r="E332" s="1">
        <v>0</v>
      </c>
      <c r="F332" s="1">
        <v>0</v>
      </c>
      <c r="G332" s="1">
        <v>0</v>
      </c>
      <c r="H332" s="1">
        <v>0</v>
      </c>
      <c r="I332" s="1">
        <v>0</v>
      </c>
      <c r="J332" s="1">
        <f>Raw_Data[[#This Row],[Quick Match]]+Raw_Data[[#This Row],[Manual Match]]</f>
        <v>0</v>
      </c>
    </row>
    <row r="333" spans="1:10" ht="17.25" customHeight="1" x14ac:dyDescent="0.25">
      <c r="A333" s="4" t="s">
        <v>16</v>
      </c>
      <c r="B333" s="1" t="s">
        <v>40</v>
      </c>
      <c r="C333" s="1" t="s">
        <v>15</v>
      </c>
      <c r="D333" s="1" t="s">
        <v>20</v>
      </c>
      <c r="E333" s="1">
        <v>0</v>
      </c>
      <c r="F333" s="1">
        <v>0</v>
      </c>
      <c r="G333" s="1">
        <v>0</v>
      </c>
      <c r="H333" s="1">
        <v>0</v>
      </c>
      <c r="I333" s="1">
        <v>0</v>
      </c>
      <c r="J333" s="1">
        <f>Raw_Data[[#This Row],[Quick Match]]+Raw_Data[[#This Row],[Manual Match]]</f>
        <v>0</v>
      </c>
    </row>
    <row r="334" spans="1:10" ht="17.25" customHeight="1" x14ac:dyDescent="0.25">
      <c r="A334" s="4" t="s">
        <v>16</v>
      </c>
      <c r="B334" s="1" t="s">
        <v>40</v>
      </c>
      <c r="C334" s="1" t="s">
        <v>15</v>
      </c>
      <c r="D334" s="1" t="s">
        <v>21</v>
      </c>
      <c r="E334" s="1">
        <v>0</v>
      </c>
      <c r="F334" s="1">
        <v>0</v>
      </c>
      <c r="G334" s="1">
        <v>0</v>
      </c>
      <c r="H334" s="1">
        <v>0</v>
      </c>
      <c r="I334" s="1">
        <v>0</v>
      </c>
      <c r="J334" s="1">
        <f>Raw_Data[[#This Row],[Quick Match]]+Raw_Data[[#This Row],[Manual Match]]</f>
        <v>0</v>
      </c>
    </row>
    <row r="335" spans="1:10" ht="17.25" customHeight="1" x14ac:dyDescent="0.25">
      <c r="A335" s="4" t="s">
        <v>16</v>
      </c>
      <c r="B335" s="1" t="s">
        <v>40</v>
      </c>
      <c r="C335" s="1" t="s">
        <v>15</v>
      </c>
      <c r="D335" s="1" t="s">
        <v>22</v>
      </c>
      <c r="E335" s="1">
        <v>0</v>
      </c>
      <c r="F335" s="1">
        <v>0</v>
      </c>
      <c r="G335" s="1">
        <v>0</v>
      </c>
      <c r="H335" s="1">
        <v>0</v>
      </c>
      <c r="I335" s="1">
        <v>0</v>
      </c>
      <c r="J335" s="1">
        <f>Raw_Data[[#This Row],[Quick Match]]+Raw_Data[[#This Row],[Manual Match]]</f>
        <v>0</v>
      </c>
    </row>
    <row r="336" spans="1:10" ht="17.25" customHeight="1" x14ac:dyDescent="0.25">
      <c r="A336" s="4" t="s">
        <v>16</v>
      </c>
      <c r="B336" s="1" t="s">
        <v>40</v>
      </c>
      <c r="C336" s="1" t="s">
        <v>15</v>
      </c>
      <c r="D336" s="1" t="s">
        <v>23</v>
      </c>
      <c r="E336" s="1">
        <v>0</v>
      </c>
      <c r="F336" s="1">
        <v>0</v>
      </c>
      <c r="G336" s="1">
        <v>0</v>
      </c>
      <c r="H336" s="1">
        <v>0</v>
      </c>
      <c r="I336" s="1">
        <v>0</v>
      </c>
      <c r="J336" s="1">
        <f>Raw_Data[[#This Row],[Quick Match]]+Raw_Data[[#This Row],[Manual Match]]</f>
        <v>0</v>
      </c>
    </row>
    <row r="337" spans="1:10" ht="17.25" customHeight="1" x14ac:dyDescent="0.25">
      <c r="A337" s="4" t="s">
        <v>16</v>
      </c>
      <c r="B337" s="1" t="s">
        <v>40</v>
      </c>
      <c r="C337" s="1" t="s">
        <v>15</v>
      </c>
      <c r="D337" s="1" t="s">
        <v>24</v>
      </c>
      <c r="E337" s="1">
        <v>0</v>
      </c>
      <c r="F337" s="1">
        <v>0</v>
      </c>
      <c r="G337" s="1">
        <v>0</v>
      </c>
      <c r="H337" s="1">
        <v>0</v>
      </c>
      <c r="I337" s="1">
        <v>0</v>
      </c>
      <c r="J337" s="1">
        <f>Raw_Data[[#This Row],[Quick Match]]+Raw_Data[[#This Row],[Manual Match]]</f>
        <v>0</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187BC800-46B6-45A9-81F0-874854111822}">
  <ds:schemaRefs/>
</ds:datastoreItem>
</file>

<file path=customXml/itemProps2.xml><?xml version="1.0" encoding="utf-8"?>
<ds:datastoreItem xmlns:ds="http://schemas.openxmlformats.org/officeDocument/2006/customXml" ds:itemID="{ACC31D8F-0150-4D5C-B328-8C011C7FAC87}">
  <ds:schemaRefs/>
</ds:datastoreItem>
</file>

<file path=customXml/itemProps3.xml><?xml version="1.0" encoding="utf-8"?>
<ds:datastoreItem xmlns:ds="http://schemas.openxmlformats.org/officeDocument/2006/customXml" ds:itemID="{4D07913B-E023-460A-909C-4F4EB1E1A201}">
  <ds:schemaRefs/>
</ds:datastoreItem>
</file>

<file path=customXml/itemProps4.xml><?xml version="1.0" encoding="utf-8"?>
<ds:datastoreItem xmlns:ds="http://schemas.openxmlformats.org/officeDocument/2006/customXml" ds:itemID="{6F2A33F1-5C0E-4948-8B6E-2AC7A66A604B}">
  <ds:schemaRefs/>
</ds:datastoreItem>
</file>

<file path=customXml/itemProps5.xml><?xml version="1.0" encoding="utf-8"?>
<ds:datastoreItem xmlns:ds="http://schemas.openxmlformats.org/officeDocument/2006/customXml" ds:itemID="{6A36E5CD-84E7-485F-BAE0-5EA9BE396125}">
  <ds:schemaRefs/>
</ds:datastoreItem>
</file>

<file path=customXml/itemProps6.xml><?xml version="1.0" encoding="utf-8"?>
<ds:datastoreItem xmlns:ds="http://schemas.openxmlformats.org/officeDocument/2006/customXml" ds:itemID="{AE2F7AA0-3C8D-46A0-99EC-D7A345D8A13D}">
  <ds:schemaRefs/>
</ds:datastoreItem>
</file>

<file path=customXml/itemProps7.xml><?xml version="1.0" encoding="utf-8"?>
<ds:datastoreItem xmlns:ds="http://schemas.openxmlformats.org/officeDocument/2006/customXml" ds:itemID="{39B58430-EB49-4D1A-92E5-22671AFAB374}">
  <ds:schemaRefs/>
</ds:datastoreItem>
</file>

<file path=customXml/itemProps8.xml><?xml version="1.0" encoding="utf-8"?>
<ds:datastoreItem xmlns:ds="http://schemas.openxmlformats.org/officeDocument/2006/customXml" ds:itemID="{06787124-6B2D-4F81-89A2-C5D0D9458C40}">
  <ds:schemaRefs/>
</ds:datastoreItem>
</file>

<file path=customXml/itemProps9.xml><?xml version="1.0" encoding="utf-8"?>
<ds:datastoreItem xmlns:ds="http://schemas.openxmlformats.org/officeDocument/2006/customXml" ds:itemID="{FEF20EB5-FF1A-40E2-8C9C-3DF168559C79}">
  <ds:schemaRefs/>
</ds:datastoreItem>
</file>

<file path=customXml/itemProps10.xml><?xml version="1.0" encoding="utf-8"?>
<ds:datastoreItem xmlns:ds="http://schemas.openxmlformats.org/officeDocument/2006/customXml" ds:itemID="{1B235C4A-7C58-4B45-989A-5C2DCDC7BCCD}">
  <ds:schemaRefs/>
</ds:datastoreItem>
</file>

<file path=customXml/itemProps11.xml><?xml version="1.0" encoding="utf-8"?>
<ds:datastoreItem xmlns:ds="http://schemas.openxmlformats.org/officeDocument/2006/customXml" ds:itemID="{050CB2A2-0120-4FEF-BB94-C3053D0552C4}">
  <ds:schemaRefs/>
</ds:datastoreItem>
</file>

<file path=customXml/itemProps12.xml><?xml version="1.0" encoding="utf-8"?>
<ds:datastoreItem xmlns:ds="http://schemas.openxmlformats.org/officeDocument/2006/customXml" ds:itemID="{9664B6A2-BA66-410E-9568-7D890003B211}">
  <ds:schemaRefs/>
</ds:datastoreItem>
</file>

<file path=customXml/itemProps13.xml><?xml version="1.0" encoding="utf-8"?>
<ds:datastoreItem xmlns:ds="http://schemas.openxmlformats.org/officeDocument/2006/customXml" ds:itemID="{A7B62D6E-D164-49DA-8AAC-7523FB4CD5C1}">
  <ds:schemaRefs/>
</ds:datastoreItem>
</file>

<file path=customXml/itemProps14.xml><?xml version="1.0" encoding="utf-8"?>
<ds:datastoreItem xmlns:ds="http://schemas.openxmlformats.org/officeDocument/2006/customXml" ds:itemID="{58E6713A-11DC-4652-9444-3DB89D4FA2D3}">
  <ds:schemaRefs/>
</ds:datastoreItem>
</file>

<file path=customXml/itemProps15.xml><?xml version="1.0" encoding="utf-8"?>
<ds:datastoreItem xmlns:ds="http://schemas.openxmlformats.org/officeDocument/2006/customXml" ds:itemID="{8281B995-5013-4FC0-8567-D5F173FD0D02}">
  <ds:schemaRefs/>
</ds:datastoreItem>
</file>

<file path=customXml/itemProps16.xml><?xml version="1.0" encoding="utf-8"?>
<ds:datastoreItem xmlns:ds="http://schemas.openxmlformats.org/officeDocument/2006/customXml" ds:itemID="{4BF097AC-D77A-450A-AC5E-2053C2366F39}">
  <ds:schemaRefs/>
</ds:datastoreItem>
</file>

<file path=customXml/itemProps17.xml><?xml version="1.0" encoding="utf-8"?>
<ds:datastoreItem xmlns:ds="http://schemas.openxmlformats.org/officeDocument/2006/customXml" ds:itemID="{26202171-3F07-4DBB-A3A9-2CD43A795326}">
  <ds:schemaRefs/>
</ds:datastoreItem>
</file>

<file path=customXml/itemProps18.xml><?xml version="1.0" encoding="utf-8"?>
<ds:datastoreItem xmlns:ds="http://schemas.openxmlformats.org/officeDocument/2006/customXml" ds:itemID="{B6140B88-F950-4C8F-9F80-6A08D96A149D}">
  <ds:schemaRefs/>
</ds:datastoreItem>
</file>

<file path=customXml/itemProps19.xml><?xml version="1.0" encoding="utf-8"?>
<ds:datastoreItem xmlns:ds="http://schemas.openxmlformats.org/officeDocument/2006/customXml" ds:itemID="{756C2FD3-10A5-44FB-AB49-E6A59205B6B1}">
  <ds:schemaRefs/>
</ds:datastoreItem>
</file>

<file path=customXml/itemProps20.xml><?xml version="1.0" encoding="utf-8"?>
<ds:datastoreItem xmlns:ds="http://schemas.openxmlformats.org/officeDocument/2006/customXml" ds:itemID="{04AB42B9-A866-44AC-B476-E5ABF5AEF0EF}">
  <ds:schemaRefs/>
</ds:datastoreItem>
</file>

<file path=customXml/itemProps21.xml><?xml version="1.0" encoding="utf-8"?>
<ds:datastoreItem xmlns:ds="http://schemas.openxmlformats.org/officeDocument/2006/customXml" ds:itemID="{6F2FEFA1-E300-4517-94E6-F07D700B40FA}">
  <ds:schemaRefs/>
</ds:datastoreItem>
</file>

<file path=customXml/itemProps22.xml><?xml version="1.0" encoding="utf-8"?>
<ds:datastoreItem xmlns:ds="http://schemas.openxmlformats.org/officeDocument/2006/customXml" ds:itemID="{87981396-D2F1-49F8-A950-D90606CA8B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Automation_Cumulati_Sweet_Spots</vt:lpstr>
      <vt:lpstr>Distributor_Summary</vt:lpstr>
      <vt:lpstr>Worksheets_Summary</vt:lpstr>
      <vt:lpstr>Score_Range_Summary</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Cameron, Robert</dc:creator>
  <cp:lastModifiedBy>Cameron, Robert</cp:lastModifiedBy>
  <cp:lastPrinted>2026-08-12T11:58:47Z</cp:lastPrinted>
  <dcterms:created xsi:type="dcterms:W3CDTF">2026-07-24T19:57:19Z</dcterms:created>
  <dcterms:modified xsi:type="dcterms:W3CDTF">2026-09-14T19:51:43Z</dcterms:modified>
</cp:coreProperties>
</file>